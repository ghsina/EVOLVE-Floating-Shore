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Hourly series" sheetId="2" state="visible" r:id="rId4"/>
    <sheet name="Upload format" sheetId="3" state="visible" r:id="rId5"/>
    <sheet name="Rows by resolution" sheetId="4" state="visible" r:id="rId6"/>
    <sheet name="Project inputs" sheetId="5" state="visible" r:id="rId7"/>
    <sheet name="Site and infrastructure" sheetId="6" state="visible" r:id="rId8"/>
    <sheet name="Data sources" sheetId="7" state="visible" r:id="rId9"/>
    <sheet name="Built-in downloa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<sst xmlns="http://schemas.openxmlformats.org/spreadsheetml/2006/main" count="1341" uniqueCount="759">
  <si>
    <t xml:space="preserve">EVOLVE Planner: data guide</t>
  </si>
  <si>
    <t xml:space="preserve">What this file tells you: which data the planner can take, in which format and resolution, and where to get each item. Facts about data services were checked on their official pages on 8 October 2026; the 'Checked' column says where that was not possible.</t>
  </si>
  <si>
    <t xml:space="preserve">Sheets</t>
  </si>
  <si>
    <t xml:space="preserve">Hourly series – the time series you can upload, what each one is for and where to get it.</t>
  </si>
  <si>
    <t xml:space="preserve">Upload format – the exact layout of the file you upload, with a filled example and the rules the app applies.</t>
  </si>
  <si>
    <t xml:space="preserve">Rows by resolution – how many rows a one-year file must have at each time step.</t>
  </si>
  <si>
    <t xml:space="preserve">Project inputs – every number and choice the planner asks for, with its unit, default and a source to look up.</t>
  </si>
  <si>
    <t xml:space="preserve">Site and infrastructure – where to find depth, sea area, grid points, hydrogen networks and constraints.</t>
  </si>
  <si>
    <t xml:space="preserve">Data sources – every service named in this guide: resolution, coverage, access, licence, link.</t>
  </si>
  <si>
    <t xml:space="preserve">Built-in downloads – what the app can fetch for you from coordinates, and how it converts it.</t>
  </si>
  <si>
    <t xml:space="preserve">The three rules for hourly data</t>
  </si>
  <si>
    <t xml:space="preserve">1. One calendar year only. The planner reduces that year with topological data analysis and checks the design on all of its hours; it never mixes years.</t>
  </si>
  <si>
    <t xml:space="preserve">2. Hourly values in UTC, starting 1 January 00:00. 30, 15, 10 and 5-minute files are accepted and averaged to hours; a leap year loses 29 February, so every year has 8,760 hours.</t>
  </si>
  <si>
    <t xml:space="preserve">3. Capacity factors are fractions between 0 and 1 (percent is detected and divided by 100); prices in EUR/MWh; demand in MW (electricity) and kg/h (hydrogen).</t>
  </si>
  <si>
    <t xml:space="preserve">Colour key</t>
  </si>
  <si>
    <t xml:space="preserve">Yellow cells in 'Upload format' and 'Rows by resolution' are the ones you change. Everything else is reference.</t>
  </si>
  <si>
    <t xml:space="preserve">One calendar year per series. Leave a column empty if you do not need it. Column names are matched without regard to case; the alternative names the app also accepts are listed in 'Upload format'.</t>
  </si>
  <si>
    <t xml:space="preserve">Series</t>
  </si>
  <si>
    <t xml:space="preserve">Column name in your file</t>
  </si>
  <si>
    <t xml:space="preserve">Unit</t>
  </si>
  <si>
    <t xml:space="preserve">Needed when</t>
  </si>
  <si>
    <t xml:space="preserve">What the planner does with it</t>
  </si>
  <si>
    <t xml:space="preserve">Where to get it</t>
  </si>
  <si>
    <t xml:space="preserve">How to prepare it</t>
  </si>
  <si>
    <t xml:space="preserve">Main link</t>
  </si>
  <si>
    <t xml:space="preserve">Second link</t>
  </si>
  <si>
    <t xml:space="preserve">Wind capacity factor</t>
  </si>
  <si>
    <t xml:space="preserve">wind_cf</t>
  </si>
  <si>
    <t xml:space="preserve">fraction of rated power (0–1)</t>
  </si>
  <si>
    <t xml:space="preserve">Always</t>
  </si>
  <si>
    <t xml:space="preserve">Hourly output of 1 MW of offshore wind after losses; multiplied by the wind capacity the model chooses.</t>
  </si>
  <si>
    <t xml:space="preserve">1) Built in: ERA5 wind at the island via Open-Meteo, IEA 15 MW curve (Data step → Download by coordinates). 2) Renewables.ninja wind (MERRA-2). 3) ERA5 from the Copernicus CDS. 4) NEWA mesoscale (3 km, 30-min). 5) Your own measured or modelled farm output.</t>
  </si>
  <si>
    <t xml:space="preserve">Wind speed at hub height → turbine power curve → divide by rated power → subtract wake and electrical losses (10–15 % is common). Use ERA5, not ERA5-Land, offshore: ERA5-Land has no 100 m wind.</t>
  </si>
  <si>
    <t xml:space="preserve">https://open-meteo.com/en/docs/historical-weather-api</t>
  </si>
  <si>
    <t xml:space="preserve">https://www.renewables.ninja</t>
  </si>
  <si>
    <t xml:space="preserve">Solar (floating PV) capacity factor</t>
  </si>
  <si>
    <t xml:space="preserve">pv_cf</t>
  </si>
  <si>
    <t xml:space="preserve">When floating PV is allowed</t>
  </si>
  <si>
    <t xml:space="preserve">Hourly output of 1 MW of floating PV; multiplied by the PV capacity the model chooses.</t>
  </si>
  <si>
    <t xml:space="preserve">1) Built in: ERA5 irradiance via Open-Meteo through pvlib. 2) PVGIS hourly series (SARAH-3 or ERA5, 2005–2023; land and up to 25 km offshore). 3) Renewables.ninja PV.</t>
  </si>
  <si>
    <t xml:space="preserve">Irradiance on the module plane → PV model with cell temperature → divide by rated power → losses. Leave the column empty and switch floating PV off if it is not an option.</t>
  </si>
  <si>
    <t xml:space="preserve">https://re.jrc.ec.europa.eu/pvg_tools/en/</t>
  </si>
  <si>
    <t xml:space="preserve">Day-ahead electricity price</t>
  </si>
  <si>
    <t xml:space="preserve">price_eur_mwh</t>
  </si>
  <si>
    <t xml:space="preserve">EUR/MWh</t>
  </si>
  <si>
    <t xml:space="preserve">Merchant or CfD revenue</t>
  </si>
  <si>
    <t xml:space="preserve">Revenue per MWh sold in each hour; negative prices are kept (CfD pays nothing in negative hours).</t>
  </si>
  <si>
    <t xml:space="preserve">1) Built in: Energy-Charts API by bidding zone. 2) ENTSO-E Transparency Platform (free token). 3) Energi Data Service (Denmark, free). 4) Nord Pool or EPEX data (paid).</t>
  </si>
  <si>
    <t xml:space="preserve">Since 1 October 2025 the European day-ahead market clears in 15-minute steps: upload the 15-minute file as it is (the app averages each hour) or average to hours yourself.</t>
  </si>
  <si>
    <t xml:space="preserve">https://api.energy-charts.info</t>
  </si>
  <si>
    <t xml:space="preserve">https://transparency.entsoe.eu</t>
  </si>
  <si>
    <t xml:space="preserve">Electricity demand profile</t>
  </si>
  <si>
    <t xml:space="preserve">elec_demand_mw</t>
  </si>
  <si>
    <t xml:space="preserve">MW</t>
  </si>
  <si>
    <t xml:space="preserve">Only for 'follow my hourly profile' electricity delivery</t>
  </si>
  <si>
    <t xml:space="preserve">The power the system must deliver in each hour.</t>
  </si>
  <si>
    <t xml:space="preserve">Your offtaker's metered load; ENTSO-E actual total load (national shape, scale to your annual volume); RTE éCO2mix / ODRÉ for France; Open Power System Data (2015–mid 2020, frozen).</t>
  </si>
  <si>
    <t xml:space="preserve">For a national shape: divide each hour by the national annual total and multiply by your annual volume.</t>
  </si>
  <si>
    <t xml:space="preserve">https://odre.opendatasoft.com</t>
  </si>
  <si>
    <t xml:space="preserve">Hydrogen demand profile</t>
  </si>
  <si>
    <t xml:space="preserve">h2_demand_kgh</t>
  </si>
  <si>
    <t xml:space="preserve">kg/h</t>
  </si>
  <si>
    <t xml:space="preserve">Only for 'follow my hourly profile' hydrogen delivery</t>
  </si>
  <si>
    <t xml:space="preserve">The hydrogen the system must deliver in each hour.</t>
  </si>
  <si>
    <t xml:space="preserve">Your offtaker (refinery, ammonia or methanol plant, port, bus depot). No public hourly hydrogen demand exists; for industry a constant flow is the usual assumption (use 'constant flow every hour' instead).</t>
  </si>
  <si>
    <t xml:space="preserve">kg/h = annual tonnes × 1,000 / 8,760 for a flat profile.</t>
  </si>
  <si>
    <t xml:space="preserve">Upload format: one sheet named TimeSeries (Excel) or one CSV file, one row per time step</t>
  </si>
  <si>
    <t xml:space="preserve">• File types: .xlsx (sheet 'TimeSeries', or the first sheet) or .csv (comma or semicolon separated, detected automatically). Use a full stop as the decimal mark.</t>
  </si>
  <si>
    <t xml:space="preserve">• Header row: exactly the column names below, in any order. The 'hour' and 'time_utc' columns are for you; the app ignores them.</t>
  </si>
  <si>
    <t xml:space="preserve">• Rows: one calendar year from 1 January 00:00 UTC. See 'Rows by resolution' for the row count at each time step.</t>
  </si>
  <si>
    <t xml:space="preserve">• Missing values: short gaps are filled by linear interpolation and reported. Do not fill gaps with zeros.</t>
  </si>
  <si>
    <t xml:space="preserve">• Capacity factors above 1 and up to 100 are read as percent and divided by 100; values are then limited to 0–1.</t>
  </si>
  <si>
    <t xml:space="preserve">• Also accepted column names: wind (wind_cf); pv, solar, solar_cf (pv_cf); price, el_price, day_ahead (price_eur_mwh); elec_demand, demand_mw, load_mw (elec_demand_mw); h2_demand, h2_kgh (h2_demand_kgh).</t>
  </si>
  <si>
    <t xml:space="preserve">• The full inputs workbook (sidebar → Save all inputs) has this TimeSeries sheet plus an Inputs sheet with every project input; uploading it restores a whole project.</t>
  </si>
  <si>
    <t xml:space="preserve">• Example below: the first 48 hours of the Belle-Île 2019 series shipped with the app (yellow = your data).</t>
  </si>
  <si>
    <t xml:space="preserve">hour</t>
  </si>
  <si>
    <t xml:space="preserve">time_utc</t>
  </si>
  <si>
    <t xml:space="preserve">2019-01-01 00:00:00</t>
  </si>
  <si>
    <t xml:space="preserve">2019-01-01 01:00:00</t>
  </si>
  <si>
    <t xml:space="preserve">2019-01-01 02:00:00</t>
  </si>
  <si>
    <t xml:space="preserve">2019-01-01 03:00:00</t>
  </si>
  <si>
    <t xml:space="preserve">2019-01-01 04:00:00</t>
  </si>
  <si>
    <t xml:space="preserve">2019-01-01 05:00:00</t>
  </si>
  <si>
    <t xml:space="preserve">2019-01-01 06:00:00</t>
  </si>
  <si>
    <t xml:space="preserve">2019-01-01 07:00:00</t>
  </si>
  <si>
    <t xml:space="preserve">2019-01-01 08:00:00</t>
  </si>
  <si>
    <t xml:space="preserve">2019-01-01 09:00:00</t>
  </si>
  <si>
    <t xml:space="preserve">2019-01-01 10:00:00</t>
  </si>
  <si>
    <t xml:space="preserve">2019-01-01 11:00:00</t>
  </si>
  <si>
    <t xml:space="preserve">2019-01-01 12:00:00</t>
  </si>
  <si>
    <t xml:space="preserve">2019-01-01 13:00:00</t>
  </si>
  <si>
    <t xml:space="preserve">2019-01-01 14:00:00</t>
  </si>
  <si>
    <t xml:space="preserve">2019-01-01 15:00:00</t>
  </si>
  <si>
    <t xml:space="preserve">2019-01-01 16:00:00</t>
  </si>
  <si>
    <t xml:space="preserve">2019-01-01 17:00:00</t>
  </si>
  <si>
    <t xml:space="preserve">2019-01-01 18:00:00</t>
  </si>
  <si>
    <t xml:space="preserve">2019-01-01 19:00:00</t>
  </si>
  <si>
    <t xml:space="preserve">2019-01-01 20:00:00</t>
  </si>
  <si>
    <t xml:space="preserve">2019-01-01 21:00:00</t>
  </si>
  <si>
    <t xml:space="preserve">2019-01-01 22:00:00</t>
  </si>
  <si>
    <t xml:space="preserve">2019-01-01 23:00:00</t>
  </si>
  <si>
    <t xml:space="preserve">2019-01-02 00:00:00</t>
  </si>
  <si>
    <t xml:space="preserve">2019-01-02 01:00:00</t>
  </si>
  <si>
    <t xml:space="preserve">2019-01-02 02:00:00</t>
  </si>
  <si>
    <t xml:space="preserve">2019-01-02 03:00:00</t>
  </si>
  <si>
    <t xml:space="preserve">2019-01-02 04:00:00</t>
  </si>
  <si>
    <t xml:space="preserve">2019-01-02 05:00:00</t>
  </si>
  <si>
    <t xml:space="preserve">2019-01-02 06:00:00</t>
  </si>
  <si>
    <t xml:space="preserve">2019-01-02 07:00:00</t>
  </si>
  <si>
    <t xml:space="preserve">2019-01-02 08:00:00</t>
  </si>
  <si>
    <t xml:space="preserve">2019-01-02 09:00:00</t>
  </si>
  <si>
    <t xml:space="preserve">2019-01-02 10:00:00</t>
  </si>
  <si>
    <t xml:space="preserve">2019-01-02 11:00:00</t>
  </si>
  <si>
    <t xml:space="preserve">2019-01-02 12:00:00</t>
  </si>
  <si>
    <t xml:space="preserve">2019-01-02 13:00:00</t>
  </si>
  <si>
    <t xml:space="preserve">2019-01-02 14:00:00</t>
  </si>
  <si>
    <t xml:space="preserve">2019-01-02 15:00:00</t>
  </si>
  <si>
    <t xml:space="preserve">2019-01-02 16:00:00</t>
  </si>
  <si>
    <t xml:space="preserve">2019-01-02 17:00:00</t>
  </si>
  <si>
    <t xml:space="preserve">2019-01-02 18:00:00</t>
  </si>
  <si>
    <t xml:space="preserve">2019-01-02 19:00:00</t>
  </si>
  <si>
    <t xml:space="preserve">2019-01-02 20:00:00</t>
  </si>
  <si>
    <t xml:space="preserve">2019-01-02 21:00:00</t>
  </si>
  <si>
    <t xml:space="preserve">2019-01-02 22:00:00</t>
  </si>
  <si>
    <t xml:space="preserve">2019-01-02 23:00:00</t>
  </si>
  <si>
    <t xml:space="preserve">Rows a one-year file must have at each time step (the app averages sub-hourly data to hours)</t>
  </si>
  <si>
    <t xml:space="preserve">Time step</t>
  </si>
  <si>
    <t xml:space="preserve">Steps per hour</t>
  </si>
  <si>
    <t xml:space="preserve">Rows, normal year</t>
  </si>
  <si>
    <t xml:space="preserve">Rows, leap year</t>
  </si>
  <si>
    <t xml:space="preserve">Accepted</t>
  </si>
  <si>
    <t xml:space="preserve">60 minutes (hourly)</t>
  </si>
  <si>
    <t xml:space="preserve">yes</t>
  </si>
  <si>
    <t xml:space="preserve">30 minutes</t>
  </si>
  <si>
    <t xml:space="preserve">15 minutes</t>
  </si>
  <si>
    <t xml:space="preserve">10 minutes</t>
  </si>
  <si>
    <t xml:space="preserve">5 minutes</t>
  </si>
  <si>
    <t xml:space="preserve">Hours per normal year: 8,760 = 365 × 24. Leap year: 8,784; the app removes 29 February (24 hours × steps per hour) so every year has 8,760 hours.</t>
  </si>
  <si>
    <t xml:space="preserve">Every input is also in the app's inputs workbook (sheet 'Inputs', column 'value'). 'Placeholder until Step 3' marks costs that will be replaced by referenced values.</t>
  </si>
  <si>
    <t xml:space="preserve">Group</t>
  </si>
  <si>
    <t xml:space="preserve">Key (Inputs sheet)</t>
  </si>
  <si>
    <t xml:space="preserve">Input</t>
  </si>
  <si>
    <t xml:space="preserve">Default in the app</t>
  </si>
  <si>
    <t xml:space="preserve">Options</t>
  </si>
  <si>
    <t xml:space="preserve">Placeholder until Step 3</t>
  </si>
  <si>
    <t xml:space="preserve">Shown under</t>
  </si>
  <si>
    <t xml:space="preserve">Help</t>
  </si>
  <si>
    <t xml:space="preserve">Where to look it up</t>
  </si>
  <si>
    <t xml:space="preserve">Use case</t>
  </si>
  <si>
    <t xml:space="preserve">use_case</t>
  </si>
  <si>
    <t xml:space="preserve">What the island supplies</t>
  </si>
  <si>
    <t xml:space="preserve">-</t>
  </si>
  <si>
    <t xml:space="preserve">Hybrid</t>
  </si>
  <si>
    <t xml:space="preserve">Power-led, Hydrogen-led, Hybrid</t>
  </si>
  <si>
    <t xml:space="preserve">Power-led: electricity to the grid, hydrogen only as internal storage. Hydrogen-led: hydrogen to an offtaker, electricity optional. Hybrid: both contracts.</t>
  </si>
  <si>
    <t xml:space="preserve">Your offtake contracts and project brief. CfD strikes: national tender results (e.g. AO5 award for Bretagne Sud). PPA prices: your counterparty or a market price index.</t>
  </si>
  <si>
    <t xml:space="preserve">annual_demand_mwh</t>
  </si>
  <si>
    <t xml:space="preserve">Electricity to deliver per year</t>
  </si>
  <si>
    <t xml:space="preserve">MWh/yr</t>
  </si>
  <si>
    <t xml:space="preserve">Contracted electricity at the grid point. Ignored in merchant and CfD modes, where volume is free.</t>
  </si>
  <si>
    <t xml:space="preserve">annual_h2_demand_kg</t>
  </si>
  <si>
    <t xml:space="preserve">Hydrogen to deliver per year</t>
  </si>
  <si>
    <t xml:space="preserve">kg/yr</t>
  </si>
  <si>
    <t xml:space="preserve">elec_delivery</t>
  </si>
  <si>
    <t xml:space="preserve">Electricity delivery profile</t>
  </si>
  <si>
    <t xml:space="preserve">annual</t>
  </si>
  <si>
    <t xml:space="preserve">annual, firm, profile</t>
  </si>
  <si>
    <t xml:space="preserve">annual: only the yearly volume counts. firm: the same power every hour. profile: follow the hourly profile uploaded with the time series (column elec_demand_mw).</t>
  </si>
  <si>
    <t xml:space="preserve">h2_delivery</t>
  </si>
  <si>
    <t xml:space="preserve">Hydrogen delivery profile</t>
  </si>
  <si>
    <t xml:space="preserve">As for electricity; profile uses column h2_demand_kgh.</t>
  </si>
  <si>
    <t xml:space="preserve">elec_revenue</t>
  </si>
  <si>
    <t xml:space="preserve">Electricity revenue</t>
  </si>
  <si>
    <t xml:space="preserve">ppa</t>
  </si>
  <si>
    <t xml:space="preserve">ppa, merchant, cfd</t>
  </si>
  <si>
    <t xml:space="preserve">ppa: fixed volume at the PPA price. merchant: every MWh sold at the hourly day-ahead price. cfd: two-sided contract for difference, strike price paid in hours with non-negative price (French offshore scheme).</t>
  </si>
  <si>
    <t xml:space="preserve">ppa_price_eur_mwh</t>
  </si>
  <si>
    <t xml:space="preserve">PPA price</t>
  </si>
  <si>
    <t xml:space="preserve">cfd_strike_eur_mwh</t>
  </si>
  <si>
    <t xml:space="preserve">CfD strike price</t>
  </si>
  <si>
    <t xml:space="preserve">Bretagne Sud 1 (Pennavel) award, 15 May 2024: EUR 86.45/MWh.</t>
  </si>
  <si>
    <t xml:space="preserve">h2_price_eur_kg</t>
  </si>
  <si>
    <t xml:space="preserve">Hydrogen sales price</t>
  </si>
  <si>
    <t xml:space="preserve">EUR/kg</t>
  </si>
  <si>
    <t xml:space="preserve">sell_surplus</t>
  </si>
  <si>
    <t xml:space="preserve">Sell the other carrier as a by-product</t>
  </si>
  <si>
    <t xml:space="preserve">False</t>
  </si>
  <si>
    <t xml:space="preserve">Power-led: sell hydrogen made from surplus power at the hydrogen price. Hydrogen-led: sell surplus electricity (merchant or CfD). Off: only the main product earns revenue.</t>
  </si>
  <si>
    <t xml:space="preserve">grid_injection_cap_mw</t>
  </si>
  <si>
    <t xml:space="preserve">Maximum grid injection</t>
  </si>
  <si>
    <t xml:space="preserve">Firm capacity of the grid connection.</t>
  </si>
  <si>
    <t xml:space="preserve">Site</t>
  </si>
  <si>
    <t xml:space="preserve">site_name</t>
  </si>
  <si>
    <t xml:space="preserve">Site name</t>
  </si>
  <si>
    <t xml:space="preserve">My floating island</t>
  </si>
  <si>
    <t xml:space="preserve">Depth: EMODnet Bathymetry DTM 2024 (~115 m grid) or GEBCO_2026 (15 arc-second). Sea area: national maritime spatial plan or partner GIS. Grid and hydrogen points: TSO, OpenInfraMap, ENTSOG TYNDP maps.</t>
  </si>
  <si>
    <t xml:space="preserve">site_lat</t>
  </si>
  <si>
    <t xml:space="preserve">Island latitude</t>
  </si>
  <si>
    <t xml:space="preserve">deg</t>
  </si>
  <si>
    <t xml:space="preserve">site_lon</t>
  </si>
  <si>
    <t xml:space="preserve">Island longitude</t>
  </si>
  <si>
    <t xml:space="preserve">grid_name</t>
  </si>
  <si>
    <t xml:space="preserve">Grid connection point</t>
  </si>
  <si>
    <t xml:space="preserve">Grid substation</t>
  </si>
  <si>
    <t xml:space="preserve">grid_lat</t>
  </si>
  <si>
    <t xml:space="preserve">Grid point latitude</t>
  </si>
  <si>
    <t xml:space="preserve">grid_lon</t>
  </si>
  <si>
    <t xml:space="preserve">Grid point longitude</t>
  </si>
  <si>
    <t xml:space="preserve">h2_name</t>
  </si>
  <si>
    <t xml:space="preserve">Hydrogen offtake point</t>
  </si>
  <si>
    <t xml:space="preserve">Hydrogen offtaker</t>
  </si>
  <si>
    <t xml:space="preserve">h2_lat</t>
  </si>
  <si>
    <t xml:space="preserve">Hydrogen offtake latitude</t>
  </si>
  <si>
    <t xml:space="preserve">h2_lon</t>
  </si>
  <si>
    <t xml:space="preserve">Hydrogen offtake longitude</t>
  </si>
  <si>
    <t xml:space="preserve">route_method</t>
  </si>
  <si>
    <t xml:space="preserve">How route lengths are found</t>
  </si>
  <si>
    <t xml:space="preserve">sea route</t>
  </si>
  <si>
    <t xml:space="preserve">sea route, straight line</t>
  </si>
  <si>
    <t xml:space="preserve">sea route: shortest path through the sea on the bundled 1 km coastline (around islands and headlands) from the island to the coast nearest the onshore point, plus a straight onshore leg. straight line: great-circle distance x routing factor. An entered route length below always wins.</t>
  </si>
  <si>
    <t xml:space="preserve">routing_factor</t>
  </si>
  <si>
    <t xml:space="preserve">Routing factor (route / straight line)</t>
  </si>
  <si>
    <t xml:space="preserve">Used with the straight-line method. Cables and pipes rarely run straight; 1.1-1.3 is typical.</t>
  </si>
  <si>
    <t xml:space="preserve">link_distance_override_km</t>
  </si>
  <si>
    <t xml:space="preserve">Export cable route length (0 = computed)</t>
  </si>
  <si>
    <t xml:space="preserve">km</t>
  </si>
  <si>
    <t xml:space="preserve">Enter the routed length from a cable route study if you have it; it replaces the computed length (to the grid point, or to the hub when the island connects to a hub).</t>
  </si>
  <si>
    <t xml:space="preserve">pipe_distance_override_km</t>
  </si>
  <si>
    <t xml:space="preserve">Pipeline route length (0 = computed)</t>
  </si>
  <si>
    <t xml:space="preserve">Routed pipeline length if known (to the offtake point, or to the tie-in point).</t>
  </si>
  <si>
    <t xml:space="preserve">avg_water_depth_m</t>
  </si>
  <si>
    <t xml:space="preserve">Water depth at the island</t>
  </si>
  <si>
    <t xml:space="preserve">m</t>
  </si>
  <si>
    <t xml:space="preserve">Up to the fixed/floating threshold the island is bottom-fixed; deeper it floats.</t>
  </si>
  <si>
    <t xml:space="preserve">fixed_floating_depth_m</t>
  </si>
  <si>
    <t xml:space="preserve">Fixed/floating threshold depth</t>
  </si>
  <si>
    <t xml:space="preserve">advanced</t>
  </si>
  <si>
    <t xml:space="preserve">decentralized_h2</t>
  </si>
  <si>
    <t xml:space="preserve">Turbine-level electrolysis (no power cable)</t>
  </si>
  <si>
    <t xml:space="preserve">Floating, decentralised concept (Dolphyn type): hydrogen made in each turbine, pipeline export only.</t>
  </si>
  <si>
    <t xml:space="preserve">existing_pipeline_available</t>
  </si>
  <si>
    <t xml:space="preserve">Existing gas pipeline on the route can be repurposed</t>
  </si>
  <si>
    <t xml:space="preserve">sea_area_km2</t>
  </si>
  <si>
    <t xml:space="preserve">Usable sea area</t>
  </si>
  <si>
    <t xml:space="preserve">km2</t>
  </si>
  <si>
    <t xml:space="preserve">Polygon available for turbines and floating PV.</t>
  </si>
  <si>
    <t xml:space="preserve">wind_density_mw_km2</t>
  </si>
  <si>
    <t xml:space="preserve">Wind power density</t>
  </si>
  <si>
    <t xml:space="preserve">MW/km2</t>
  </si>
  <si>
    <t xml:space="preserve">Bretagne Sud: 250 MW on 40 km2 and 500 MW on 75 km2 (State brochure, 2026).</t>
  </si>
  <si>
    <t xml:space="preserve">pv_density_mw_km2</t>
  </si>
  <si>
    <t xml:space="preserve">Floating PV density</t>
  </si>
  <si>
    <t xml:space="preserve">deck_area_max_m2</t>
  </si>
  <si>
    <t xml:space="preserve">Island deck area available</t>
  </si>
  <si>
    <t xml:space="preserve">m2</t>
  </si>
  <si>
    <t xml:space="preserve">Area for electrolysers, compressors, fuel cells, batteries and tanks on the island.</t>
  </si>
  <si>
    <t xml:space="preserve">area_onshore_max_m2</t>
  </si>
  <si>
    <t xml:space="preserve">Onshore plot area</t>
  </si>
  <si>
    <t xml:space="preserve">Connections</t>
  </si>
  <si>
    <t xml:space="preserve">elec_connection</t>
  </si>
  <si>
    <t xml:space="preserve">Electricity connection</t>
  </si>
  <si>
    <t xml:space="preserve">direct</t>
  </si>
  <si>
    <t xml:space="preserve">direct, hub, choose</t>
  </si>
  <si>
    <t xml:space="preserve">Direct: own export cable to the onshore grid point. Hub: short cable to a nearby offshore substation or cable with spare capacity (its owner carries the power to shore for an access fee). Choose: the model sizes both and keeps the cheaper.</t>
  </si>
  <si>
    <t xml:space="preserve">Nearby offshore substations and export cables: EMODnet Human Activities (power cables, wind farms) and the TSO (spare capacity, voltage, access fee). Nearby pipelines: ENTSOG maps and TYNDP, EMODnet pipelines, the gas TSO (spare capacity, operating pressure, tie-in cost). Ratings per circuit are indicative until Step 3.</t>
  </si>
  <si>
    <t xml:space="preserve">hub_name</t>
  </si>
  <si>
    <t xml:space="preserve">Nearby offshore substation or cable</t>
  </si>
  <si>
    <t xml:space="preserve">Nearby offshore substation</t>
  </si>
  <si>
    <t xml:space="preserve">hub_lat</t>
  </si>
  <si>
    <t xml:space="preserve">Hub latitude</t>
  </si>
  <si>
    <t xml:space="preserve">hub_lon</t>
  </si>
  <si>
    <t xml:space="preserve">Hub longitude</t>
  </si>
  <si>
    <t xml:space="preserve">hub_spare_mw</t>
  </si>
  <si>
    <t xml:space="preserve">Spare capacity at the hub</t>
  </si>
  <si>
    <t xml:space="preserve">Capacity the hub owner can offer; it caps the power the island can export through the hub.</t>
  </si>
  <si>
    <t xml:space="preserve">hub_voltage_kv</t>
  </si>
  <si>
    <t xml:space="preserve">Hub voltage</t>
  </si>
  <si>
    <t xml:space="preserve">kV</t>
  </si>
  <si>
    <t xml:space="preserve">AC voltage of the hub; sets the rating of the cable from the island.</t>
  </si>
  <si>
    <t xml:space="preserve">hub_access_fee_eur_mw_yr</t>
  </si>
  <si>
    <t xml:space="preserve">Hub access fee</t>
  </si>
  <si>
    <t xml:space="preserve">EUR/MW/yr</t>
  </si>
  <si>
    <t xml:space="preserve">Annual charge per MW of connection for using the hub and its link to shore.</t>
  </si>
  <si>
    <t xml:space="preserve">export_voltage</t>
  </si>
  <si>
    <t xml:space="preserve">Export cable voltage</t>
  </si>
  <si>
    <t xml:space="preserve">auto</t>
  </si>
  <si>
    <t xml:space="preserve">auto, 66 kV AC, 132 kV AC, 220 kV AC, 275 kV AC, 320 kV DC, 525 kV DC</t>
  </si>
  <si>
    <t xml:space="preserve">Auto: 220 kV AC up to the HVAC/HVDC distance threshold, 320 kV DC beyond. A DC choice forces HVDC costs and losses. The voltage sets the rating per circuit and so the number of circuits.</t>
  </si>
  <si>
    <t xml:space="preserve">rating_66</t>
  </si>
  <si>
    <t xml:space="preserve">Rating per circuit, 66 kV AC</t>
  </si>
  <si>
    <t xml:space="preserve">rating_132</t>
  </si>
  <si>
    <t xml:space="preserve">Rating per circuit, 132 kV AC</t>
  </si>
  <si>
    <t xml:space="preserve">rating_220</t>
  </si>
  <si>
    <t xml:space="preserve">Rating per circuit, 220 kV AC</t>
  </si>
  <si>
    <t xml:space="preserve">RTE Bretagne Sud: about 250 MW per 225 kV circuit.</t>
  </si>
  <si>
    <t xml:space="preserve">rating_275</t>
  </si>
  <si>
    <t xml:space="preserve">Rating per circuit, 275 kV AC</t>
  </si>
  <si>
    <t xml:space="preserve">rating_320dc</t>
  </si>
  <si>
    <t xml:space="preserve">Rating per circuit, 320 kV DC</t>
  </si>
  <si>
    <t xml:space="preserve">rating_525dc</t>
  </si>
  <si>
    <t xml:space="preserve">Rating per circuit, 525 kV DC</t>
  </si>
  <si>
    <t xml:space="preserve">h2_connection</t>
  </si>
  <si>
    <t xml:space="preserve">Hydrogen connection</t>
  </si>
  <si>
    <t xml:space="preserve">direct, tiein, choose</t>
  </si>
  <si>
    <t xml:space="preserve">Direct: own pipeline to the offtake point. Tie-in: short pipeline to a nearby pipeline with spare capacity. Choose: the model sizes both and keeps the cheaper.</t>
  </si>
  <si>
    <t xml:space="preserve">tiein_name</t>
  </si>
  <si>
    <t xml:space="preserve">Nearby pipeline tie-in point</t>
  </si>
  <si>
    <t xml:space="preserve">Nearby pipeline</t>
  </si>
  <si>
    <t xml:space="preserve">tiein_lat</t>
  </si>
  <si>
    <t xml:space="preserve">Tie-in latitude</t>
  </si>
  <si>
    <t xml:space="preserve">tiein_lon</t>
  </si>
  <si>
    <t xml:space="preserve">Tie-in longitude</t>
  </si>
  <si>
    <t xml:space="preserve">tiein_spare_kgh</t>
  </si>
  <si>
    <t xml:space="preserve">Spare capacity in the pipeline</t>
  </si>
  <si>
    <t xml:space="preserve">tiein_pressure_bar</t>
  </si>
  <si>
    <t xml:space="preserve">Pipeline operating pressure</t>
  </si>
  <si>
    <t xml:space="preserve">bar</t>
  </si>
  <si>
    <t xml:space="preserve">Compressors deliver hydrogen at this pressure when tying in.</t>
  </si>
  <si>
    <t xml:space="preserve">tiein_fee_eur</t>
  </si>
  <si>
    <t xml:space="preserve">Tie-in cost (hot tap, metering)</t>
  </si>
  <si>
    <t xml:space="preserve">EUR</t>
  </si>
  <si>
    <t xml:space="preserve">Technologies</t>
  </si>
  <si>
    <t xml:space="preserve">enable_pv</t>
  </si>
  <si>
    <t xml:space="preserve">Floating PV</t>
  </si>
  <si>
    <t xml:space="preserve">True</t>
  </si>
  <si>
    <t xml:space="preserve">Project choice: switch off what is not allowed at the site.</t>
  </si>
  <si>
    <t xml:space="preserve">enable_ez_off</t>
  </si>
  <si>
    <t xml:space="preserve">Electrolyser on the island</t>
  </si>
  <si>
    <t xml:space="preserve">enable_ez_on</t>
  </si>
  <si>
    <t xml:space="preserve">Electrolyser onshore</t>
  </si>
  <si>
    <t xml:space="preserve">enable_fc_off</t>
  </si>
  <si>
    <t xml:space="preserve">Fuel cell on the island</t>
  </si>
  <si>
    <t xml:space="preserve">enable_fc_on</t>
  </si>
  <si>
    <t xml:space="preserve">Fuel cell onshore</t>
  </si>
  <si>
    <t xml:space="preserve">enable_batt_off</t>
  </si>
  <si>
    <t xml:space="preserve">Battery on the island</t>
  </si>
  <si>
    <t xml:space="preserve">enable_batt_on</t>
  </si>
  <si>
    <t xml:space="preserve">Battery onshore</t>
  </si>
  <si>
    <t xml:space="preserve">enable_tank_off</t>
  </si>
  <si>
    <t xml:space="preserve">Hydrogen tank on the island</t>
  </si>
  <si>
    <t xml:space="preserve">enable_tank_on</t>
  </si>
  <si>
    <t xml:space="preserve">Hydrogen tank onshore</t>
  </si>
  <si>
    <t xml:space="preserve">enable_cable</t>
  </si>
  <si>
    <t xml:space="preserve">Electricity export cable</t>
  </si>
  <si>
    <t xml:space="preserve">enable_pipe</t>
  </si>
  <si>
    <t xml:space="preserve">Hydrogen export pipeline</t>
  </si>
  <si>
    <t xml:space="preserve">Finance</t>
  </si>
  <si>
    <t xml:space="preserve">discount_rate</t>
  </si>
  <si>
    <t xml:space="preserve">Discount rate (real WACC)</t>
  </si>
  <si>
    <t xml:space="preserve">fraction</t>
  </si>
  <si>
    <t xml:space="preserve">Your financing assumptions (real WACC).</t>
  </si>
  <si>
    <t xml:space="preserve">offshore_premium</t>
  </si>
  <si>
    <t xml:space="preserve">Offshore cost premium on island equipment</t>
  </si>
  <si>
    <t xml:space="preserve">x</t>
  </si>
  <si>
    <t xml:space="preserve">Offshore wind</t>
  </si>
  <si>
    <t xml:space="preserve">wind_capex_eur_mw</t>
  </si>
  <si>
    <t xml:space="preserve">CAPEX, bottom-fixed</t>
  </si>
  <si>
    <t xml:space="preserve">EUR/MW</t>
  </si>
  <si>
    <t xml:space="preserve">Danish Energy Agency catalogue for electricity and district heating (updated June 2026); NLR (formerly NREL) Annual Technology Baseline 2025 (fixed-bottom and floating); IRENA Renewable Power Generation Costs.</t>
  </si>
  <si>
    <t xml:space="preserve">wind_capex_floating_eur_mw</t>
  </si>
  <si>
    <t xml:space="preserve">CAPEX, floating</t>
  </si>
  <si>
    <t xml:space="preserve">Placeholder equal to bottom-fixed (v9). Step 3 sets the referenced floating value.</t>
  </si>
  <si>
    <t xml:space="preserve">wind_life</t>
  </si>
  <si>
    <t xml:space="preserve">Lifetime</t>
  </si>
  <si>
    <t xml:space="preserve">yr</t>
  </si>
  <si>
    <t xml:space="preserve">wind_fom</t>
  </si>
  <si>
    <t xml:space="preserve">Fixed O&amp;M, bottom-fixed</t>
  </si>
  <si>
    <t xml:space="preserve">fraction/yr</t>
  </si>
  <si>
    <t xml:space="preserve">wind_fom_floating</t>
  </si>
  <si>
    <t xml:space="preserve">Fixed O&amp;M, floating</t>
  </si>
  <si>
    <t xml:space="preserve">turbine_mw</t>
  </si>
  <si>
    <t xml:space="preserve">Turbine rating (for the drawing)</t>
  </si>
  <si>
    <t xml:space="preserve">pv_capex_eur_kw</t>
  </si>
  <si>
    <t xml:space="preserve">CAPEX</t>
  </si>
  <si>
    <t xml:space="preserve">EUR/kW</t>
  </si>
  <si>
    <t xml:space="preserve">Literature and supplier quotes; NLR ATB utility PV as a floor plus a floating premium.</t>
  </si>
  <si>
    <t xml:space="preserve">pv_life</t>
  </si>
  <si>
    <t xml:space="preserve">pv_fom</t>
  </si>
  <si>
    <t xml:space="preserve">Fixed O&amp;M</t>
  </si>
  <si>
    <t xml:space="preserve">Electrolysis</t>
  </si>
  <si>
    <t xml:space="preserve">elec_capex_eur_kw</t>
  </si>
  <si>
    <t xml:space="preserve">CAPEX (stack + balance of plant)</t>
  </si>
  <si>
    <t xml:space="preserve">Danish Energy Agency catalogue for renewable fuels (updated Feb 2026).</t>
  </si>
  <si>
    <t xml:space="preserve">electrolyzer_efficiency</t>
  </si>
  <si>
    <t xml:space="preserve">Efficiency (LHV)</t>
  </si>
  <si>
    <t xml:space="preserve">elec_life</t>
  </si>
  <si>
    <t xml:space="preserve">Lifetime (stack replacement)</t>
  </si>
  <si>
    <t xml:space="preserve">elec_fom</t>
  </si>
  <si>
    <t xml:space="preserve">area_elec_m2_mw</t>
  </si>
  <si>
    <t xml:space="preserve">Deck area</t>
  </si>
  <si>
    <t xml:space="preserve">m2/MW</t>
  </si>
  <si>
    <t xml:space="preserve">wt_capex_eur_mw</t>
  </si>
  <si>
    <t xml:space="preserve">Water treatment CAPEX</t>
  </si>
  <si>
    <t xml:space="preserve">wt_life</t>
  </si>
  <si>
    <t xml:space="preserve">Water treatment lifetime</t>
  </si>
  <si>
    <t xml:space="preserve">wt_fom</t>
  </si>
  <si>
    <t xml:space="preserve">Water treatment O&amp;M</t>
  </si>
  <si>
    <t xml:space="preserve">Compression</t>
  </si>
  <si>
    <t xml:space="preserve">comp_p_in_bar</t>
  </si>
  <si>
    <t xml:space="preserve">Inlet pressure</t>
  </si>
  <si>
    <t xml:space="preserve">Danish Energy Agency renewable fuels catalogue; supplier data.</t>
  </si>
  <si>
    <t xml:space="preserve">comp_p_out_bar</t>
  </si>
  <si>
    <t xml:space="preserve">Outlet pressure</t>
  </si>
  <si>
    <t xml:space="preserve">comp_isentropic_eff</t>
  </si>
  <si>
    <t xml:space="preserve">Isentropic efficiency</t>
  </si>
  <si>
    <t xml:space="preserve">comp_stages</t>
  </si>
  <si>
    <t xml:space="preserve">Stages</t>
  </si>
  <si>
    <t xml:space="preserve">comp_inlet_temp_k</t>
  </si>
  <si>
    <t xml:space="preserve">Inlet temperature</t>
  </si>
  <si>
    <t xml:space="preserve">K</t>
  </si>
  <si>
    <t xml:space="preserve">comp_z</t>
  </si>
  <si>
    <t xml:space="preserve">Compressibility factor</t>
  </si>
  <si>
    <t xml:space="preserve">comp_gamma</t>
  </si>
  <si>
    <t xml:space="preserve">Heat capacity ratio of hydrogen</t>
  </si>
  <si>
    <t xml:space="preserve">comp_capex_eur_mw</t>
  </si>
  <si>
    <t xml:space="preserve">comp_life</t>
  </si>
  <si>
    <t xml:space="preserve">comp_fom</t>
  </si>
  <si>
    <t xml:space="preserve">area_comp_m2_mw</t>
  </si>
  <si>
    <t xml:space="preserve">Fuel cell</t>
  </si>
  <si>
    <t xml:space="preserve">fc_efficiency_lhv</t>
  </si>
  <si>
    <t xml:space="preserve">Danish Energy Agency technology catalogues; supplier data.</t>
  </si>
  <si>
    <t xml:space="preserve">fc_capex_eur_kw</t>
  </si>
  <si>
    <t xml:space="preserve">fc_life</t>
  </si>
  <si>
    <t xml:space="preserve">fc_fom</t>
  </si>
  <si>
    <t xml:space="preserve">area_fc_m2_mw</t>
  </si>
  <si>
    <t xml:space="preserve">Battery</t>
  </si>
  <si>
    <t xml:space="preserve">batt_capex_e_eur_mwh</t>
  </si>
  <si>
    <t xml:space="preserve">Energy CAPEX</t>
  </si>
  <si>
    <t xml:space="preserve">Danish Energy Agency energy storage catalogue (April 2024); NLR ATB utility-scale battery storage.</t>
  </si>
  <si>
    <t xml:space="preserve">batt_capex_p_eur_mw</t>
  </si>
  <si>
    <t xml:space="preserve">Power CAPEX</t>
  </si>
  <si>
    <t xml:space="preserve">batt_eta</t>
  </si>
  <si>
    <t xml:space="preserve">Charge and discharge efficiency (each way)</t>
  </si>
  <si>
    <t xml:space="preserve">batt_life</t>
  </si>
  <si>
    <t xml:space="preserve">batt_fom</t>
  </si>
  <si>
    <t xml:space="preserve">batt_vom</t>
  </si>
  <si>
    <t xml:space="preserve">Variable O&amp;M</t>
  </si>
  <si>
    <t xml:space="preserve">area_batt_m2_mwh</t>
  </si>
  <si>
    <t xml:space="preserve">m2/MWh</t>
  </si>
  <si>
    <t xml:space="preserve">batt_max_mwh</t>
  </si>
  <si>
    <t xml:space="preserve">Largest battery allowed, energy (each site)</t>
  </si>
  <si>
    <t xml:space="preserve">MWh</t>
  </si>
  <si>
    <t xml:space="preserve">batt_max_mw</t>
  </si>
  <si>
    <t xml:space="preserve">Largest battery allowed, power (each site)</t>
  </si>
  <si>
    <t xml:space="preserve">Hydrogen tank</t>
  </si>
  <si>
    <t xml:space="preserve">tank_capex_eur_kg</t>
  </si>
  <si>
    <t xml:space="preserve">Danish Energy Agency energy storage catalogue; supplier data.</t>
  </si>
  <si>
    <t xml:space="preserve">tank_life</t>
  </si>
  <si>
    <t xml:space="preserve">tank_fom</t>
  </si>
  <si>
    <t xml:space="preserve">tank_vom</t>
  </si>
  <si>
    <t xml:space="preserve">area_tank_m2_kg</t>
  </si>
  <si>
    <t xml:space="preserve">m2/kg</t>
  </si>
  <si>
    <t xml:space="preserve">tank_max_kg</t>
  </si>
  <si>
    <t xml:space="preserve">Largest tank allowed (each site)</t>
  </si>
  <si>
    <t xml:space="preserve">kg</t>
  </si>
  <si>
    <t xml:space="preserve">Export cable</t>
  </si>
  <si>
    <t xml:space="preserve">hvac_hvdc_threshold_km</t>
  </si>
  <si>
    <t xml:space="preserve">HVAC up to (beyond: HVDC)</t>
  </si>
  <si>
    <t xml:space="preserve">ACER unit investment cost indicators (2023 report; 2026 update in preparation); TSO data; Danish Energy Agency transport-of-energy catalogue.</t>
  </si>
  <si>
    <t xml:space="preserve">hvac_var_eur_mw_km</t>
  </si>
  <si>
    <t xml:space="preserve">HVAC cost per MW per km</t>
  </si>
  <si>
    <t xml:space="preserve">EUR/MW/km</t>
  </si>
  <si>
    <t xml:space="preserve">hvac_fix_eur_km</t>
  </si>
  <si>
    <t xml:space="preserve">HVAC fixed cost per km</t>
  </si>
  <si>
    <t xml:space="preserve">EUR/km</t>
  </si>
  <si>
    <t xml:space="preserve">hvac_loss_per_km</t>
  </si>
  <si>
    <t xml:space="preserve">HVAC loss per km</t>
  </si>
  <si>
    <t xml:space="preserve">fraction/km</t>
  </si>
  <si>
    <t xml:space="preserve">hvdc_converter_pair_eur_mw</t>
  </si>
  <si>
    <t xml:space="preserve">HVDC converter pair</t>
  </si>
  <si>
    <t xml:space="preserve">ACER 2026 median is 0.21 M EUR/MW per station (0.42 per pair); Step 3 updates this.</t>
  </si>
  <si>
    <t xml:space="preserve">hvdc_cable_eur_mw_km</t>
  </si>
  <si>
    <t xml:space="preserve">HVDC cable</t>
  </si>
  <si>
    <t xml:space="preserve">hvdc_converter_loss</t>
  </si>
  <si>
    <t xml:space="preserve">HVDC converter losses (pair)</t>
  </si>
  <si>
    <t xml:space="preserve">hvdc_cable_loss_per_km</t>
  </si>
  <si>
    <t xml:space="preserve">HVDC cable loss per km</t>
  </si>
  <si>
    <t xml:space="preserve">tso_fee_eur_mw_yr</t>
  </si>
  <si>
    <t xml:space="preserve">TSO grid fee, HVAC export</t>
  </si>
  <si>
    <t xml:space="preserve">Annual charge per MW of export cable paid to the transmission operator when the island exports through its own HVAC cable (French offshore scheme: the TSO owns the shore connection). With a hub, the hub access fee replaces it.</t>
  </si>
  <si>
    <t xml:space="preserve">tso_fee_hvdc_eur_mw_yr</t>
  </si>
  <si>
    <t xml:space="preserve">TSO grid fee, HVDC export</t>
  </si>
  <si>
    <t xml:space="preserve">Same charge for an HVDC export. 0 by default: the converter pair is already in the cable cost.</t>
  </si>
  <si>
    <t xml:space="preserve">cable_fom_hvac</t>
  </si>
  <si>
    <t xml:space="preserve">Fixed O&amp;M, HVAC cable</t>
  </si>
  <si>
    <t xml:space="preserve">cable_fom_hvdc</t>
  </si>
  <si>
    <t xml:space="preserve">Fixed O&amp;M, HVDC link</t>
  </si>
  <si>
    <t xml:space="preserve">hvdc_float_premium</t>
  </si>
  <si>
    <t xml:space="preserve">Floating converter premium (floating island)</t>
  </si>
  <si>
    <t xml:space="preserve">Multiplies the HVDC converter cost when the island floats and makes its own power (concept B).</t>
  </si>
  <si>
    <t xml:space="preserve">cable_life</t>
  </si>
  <si>
    <t xml:space="preserve">Hydrogen pipeline</t>
  </si>
  <si>
    <t xml:space="preserve">pipe_small_capex_eur_km</t>
  </si>
  <si>
    <t xml:space="preserve">New 12-inch: cost</t>
  </si>
  <si>
    <t xml:space="preserve">European Hydrogen Backbone cost reports; ACER unit investment cost indicators.</t>
  </si>
  <si>
    <t xml:space="preserve">pipe_small_cap_kgh</t>
  </si>
  <si>
    <t xml:space="preserve">New 12-inch: capacity</t>
  </si>
  <si>
    <t xml:space="preserve">pipe_medium_capex_eur_km</t>
  </si>
  <si>
    <t xml:space="preserve">New 36-inch: cost</t>
  </si>
  <si>
    <t xml:space="preserve">pipe_medium_cap_kgh</t>
  </si>
  <si>
    <t xml:space="preserve">New 36-inch: capacity</t>
  </si>
  <si>
    <t xml:space="preserve">pipe_repurposed_capex_eur_km</t>
  </si>
  <si>
    <t xml:space="preserve">Repurposed 36-inch: cost</t>
  </si>
  <si>
    <t xml:space="preserve">pipe_repurposed_cap_kgh</t>
  </si>
  <si>
    <t xml:space="preserve">Repurposed 36-inch: capacity</t>
  </si>
  <si>
    <t xml:space="preserve">pipeline_efficiency</t>
  </si>
  <si>
    <t xml:space="preserve">Delivery efficiency</t>
  </si>
  <si>
    <t xml:space="preserve">pipeline_life</t>
  </si>
  <si>
    <t xml:space="preserve">pipeline_fom</t>
  </si>
  <si>
    <t xml:space="preserve">Island platform</t>
  </si>
  <si>
    <t xml:space="preserve">platform_cable_coef</t>
  </si>
  <si>
    <t xml:space="preserve">Platform cost per MW of export cable</t>
  </si>
  <si>
    <t xml:space="preserve">kEUR/MW</t>
  </si>
  <si>
    <t xml:space="preserve">Partner engineering estimates; literature on offshore hubs.</t>
  </si>
  <si>
    <t xml:space="preserve">platform_elec_coef</t>
  </si>
  <si>
    <t xml:space="preserve">Platform cost per MW of island equipment</t>
  </si>
  <si>
    <t xml:space="preserve">platform_install_factor</t>
  </si>
  <si>
    <t xml:space="preserve">Installation factor</t>
  </si>
  <si>
    <t xml:space="preserve">platform_float_factor</t>
  </si>
  <si>
    <t xml:space="preserve">Floating platform factor</t>
  </si>
  <si>
    <t xml:space="preserve">Multiplies the platform cost when the island floats and hosts the electrical plant (concept B).</t>
  </si>
  <si>
    <t xml:space="preserve">platform_life</t>
  </si>
  <si>
    <t xml:space="preserve">platform_fom</t>
  </si>
  <si>
    <t xml:space="preserve">Solver</t>
  </si>
  <si>
    <t xml:space="preserve">shortfall_penalty_eur_mwh</t>
  </si>
  <si>
    <t xml:space="preserve">Penalty for undelivered electricity</t>
  </si>
  <si>
    <t xml:space="preserve">Keep the defaults unless you know why to change them.</t>
  </si>
  <si>
    <t xml:space="preserve">shortfall_penalty_eur_kg</t>
  </si>
  <si>
    <t xml:space="preserve">Penalty for undelivered hydrogen</t>
  </si>
  <si>
    <t xml:space="preserve">lhv_h2_kwh_kg</t>
  </si>
  <si>
    <t xml:space="preserve">Hydrogen LHV</t>
  </si>
  <si>
    <t xml:space="preserve">kWh/kg</t>
  </si>
  <si>
    <t xml:space="preserve">cap_ub_mw</t>
  </si>
  <si>
    <t xml:space="preserve">Upper bound on any converter or cable capacity</t>
  </si>
  <si>
    <t xml:space="preserve">cap_renewable_ub_mw</t>
  </si>
  <si>
    <t xml:space="preserve">Upper bound on wind and PV capacity</t>
  </si>
  <si>
    <t xml:space="preserve">The usable sea area and power densities normally limit wind and PV first.</t>
  </si>
  <si>
    <t xml:space="preserve">Item</t>
  </si>
  <si>
    <t xml:space="preserve">Why the planner needs it</t>
  </si>
  <si>
    <t xml:space="preserve">Link</t>
  </si>
  <si>
    <t xml:space="preserve">Sets floating (deeper than the threshold, 60 m by default) or bottom-fixed</t>
  </si>
  <si>
    <t xml:space="preserve">EMODnet Bathymetry DTM 2024 (1/16 arc-minute, ~115 m); GEBCO_2026 grid (15 arc-second, public domain)</t>
  </si>
  <si>
    <t xml:space="preserve">https://emodnet.ec.europa.eu/geoviewer/</t>
  </si>
  <si>
    <t xml:space="preserve">https://download.gebco.net</t>
  </si>
  <si>
    <t xml:space="preserve">km²</t>
  </si>
  <si>
    <t xml:space="preserve">Caps wind and PV capacity through the power densities</t>
  </si>
  <si>
    <t xml:space="preserve">National maritime spatial plans; EMODnet Human Activities (wind farm polygons, cables, pipelines); partner GIS</t>
  </si>
  <si>
    <t xml:space="preserve">https://emodnet.ec.europa.eu/en/human-activities</t>
  </si>
  <si>
    <t xml:space="preserve">https://maritime-spatial-planning.ec.europa.eu</t>
  </si>
  <si>
    <t xml:space="preserve">lat, lon</t>
  </si>
  <si>
    <t xml:space="preserve">Sets the export route length and HVAC or HVDC</t>
  </si>
  <si>
    <t xml:space="preserve">Your TSO's connection studies; OpenInfraMap (OpenStreetMap data, ODbL); ENTSO-E grid map (positions are schematic)</t>
  </si>
  <si>
    <t xml:space="preserve">https://openinframap.org</t>
  </si>
  <si>
    <t xml:space="preserve">https://www.entsoe.eu/data/map/</t>
  </si>
  <si>
    <t xml:space="preserve">Export cable and pipeline route lengths</t>
  </si>
  <si>
    <t xml:space="preserve">Computed by the app from the coordinates: shortest sea route on the bundled 1 km coastline (default) or straight line × routing factor. An entered length overrides both</t>
  </si>
  <si>
    <t xml:space="preserve">TSO or developer route studies (e.g. RTE for Bretagne Sud) when you have them</t>
  </si>
  <si>
    <t xml:space="preserve">Hydrogen offtake or network point</t>
  </si>
  <si>
    <t xml:space="preserve">Sets the pipeline length</t>
  </si>
  <si>
    <t xml:space="preserve">European Hydrogen Backbone maps (2030 and 2040 routes); ENTSOG TYNDP 2024 hydrogen project maps and lists</t>
  </si>
  <si>
    <t xml:space="preserve">https://ehb.eu/page/european-hydrogen-backbone-maps</t>
  </si>
  <si>
    <t xml:space="preserve">https://www.entsog.eu/tyndp</t>
  </si>
  <si>
    <t xml:space="preserve">Nearby offshore substation or export cable (hub)</t>
  </si>
  <si>
    <t xml:space="preserve">lat, lon, MW, kV, EUR/MW/yr</t>
  </si>
  <si>
    <t xml:space="preserve">Lets the island connect with a short cable instead of its own link to shore; spare capacity caps the export</t>
  </si>
  <si>
    <t xml:space="preserve">EMODnet Human Activities (power cables, wind farms); the TSO or wind farm owner for spare capacity, voltage and fee</t>
  </si>
  <si>
    <t xml:space="preserve">Nearby pipeline for a tie-in</t>
  </si>
  <si>
    <t xml:space="preserve">lat, lon, kg/h, bar, EUR</t>
  </si>
  <si>
    <t xml:space="preserve">Lets hydrogen leave through a short spur pipeline; spare capacity caps the flow, the pressure sets compression</t>
  </si>
  <si>
    <t xml:space="preserve">ENTSOG TYNDP maps and project lists; EMODnet pipelines; the gas or hydrogen network operator</t>
  </si>
  <si>
    <t xml:space="preserve">Existing gas pipeline that could be repurposed</t>
  </si>
  <si>
    <t xml:space="preserve">yes/no</t>
  </si>
  <si>
    <t xml:space="preserve">Allows the cheaper repurposed pipeline class</t>
  </si>
  <si>
    <t xml:space="preserve">ENTSOG maps; EMODnet Human Activities (pipelines)</t>
  </si>
  <si>
    <t xml:space="preserve">Protected areas to avoid</t>
  </si>
  <si>
    <t xml:space="preserve">map</t>
  </si>
  <si>
    <t xml:space="preserve">Not modelled; check before fixing the site and routes</t>
  </si>
  <si>
    <t xml:space="preserve">Natura 2000 viewer (EEA)</t>
  </si>
  <si>
    <t xml:space="preserve">https://natura2000.eea.europa.eu</t>
  </si>
  <si>
    <t xml:space="preserve">Shipping density</t>
  </si>
  <si>
    <t xml:space="preserve">Not modelled; check route conflicts</t>
  </si>
  <si>
    <t xml:space="preserve">EMODnet vessel density (1 km grid, monthly, from 2017)</t>
  </si>
  <si>
    <t xml:space="preserve">'checked' = seen on the service's official page on 8 October 2026. 'partly checked' = some facts in the row could not be opened and are from secondary sources. Licences and limits change: check before publishing results.</t>
  </si>
  <si>
    <t xml:space="preserve">Source</t>
  </si>
  <si>
    <t xml:space="preserve">Provides</t>
  </si>
  <si>
    <t xml:space="preserve">Spatial resolution</t>
  </si>
  <si>
    <t xml:space="preserve">Coverage</t>
  </si>
  <si>
    <t xml:space="preserve">Access</t>
  </si>
  <si>
    <t xml:space="preserve">Licence</t>
  </si>
  <si>
    <t xml:space="preserve">Formats</t>
  </si>
  <si>
    <t xml:space="preserve">Checked on 8 Oct 2026</t>
  </si>
  <si>
    <t xml:space="preserve">Open-Meteo historical weather API (ERA5)</t>
  </si>
  <si>
    <t xml:space="preserve">Wind speed at 10 and 100 m, irradiance, temperature</t>
  </si>
  <si>
    <t xml:space="preserve">Hourly</t>
  </si>
  <si>
    <t xml:space="preserve">ERA5 0.25° (~25 km); ERA5-Land 0.1° (no 100 m wind)</t>
  </si>
  <si>
    <t xml:space="preserve">ERA5 from 1940, about 5 days behind</t>
  </si>
  <si>
    <t xml:space="preserve">No key for non-commercial use (10,000 calls/day); commercial use needs a paid plan</t>
  </si>
  <si>
    <t xml:space="preserve">CC BY 4.0</t>
  </si>
  <si>
    <t xml:space="preserve">JSON, CSV, XLSX</t>
  </si>
  <si>
    <t xml:space="preserve">checked</t>
  </si>
  <si>
    <t xml:space="preserve">Copernicus CDS: ERA5 hourly single levels</t>
  </si>
  <si>
    <t xml:space="preserve">u/v wind at 100 m, radiation, temperature</t>
  </si>
  <si>
    <t xml:space="preserve">0.25°</t>
  </si>
  <si>
    <t xml:space="preserve">1940 to present</t>
  </si>
  <si>
    <t xml:space="preserve">Free account; accept the dataset terms; API token in ~/.cdsapirc</t>
  </si>
  <si>
    <t xml:space="preserve">CC BY</t>
  </si>
  <si>
    <t xml:space="preserve">GRIB, NetCDF</t>
  </si>
  <si>
    <t xml:space="preserve">https://cds.climate.copernicus.eu/datasets/reanalysis-era5-single-levels</t>
  </si>
  <si>
    <t xml:space="preserve">Renewables.ninja</t>
  </si>
  <si>
    <t xml:space="preserve">Simulated hourly wind and PV output per point</t>
  </si>
  <si>
    <t xml:space="preserve">MERRA-2 0.625° × 0.5°; SARAH 0.05°</t>
  </si>
  <si>
    <t xml:space="preserve">Years per dataset not confirmed</t>
  </si>
  <si>
    <t xml:space="preserve">Free account and token; 50 requests/hour</t>
  </si>
  <si>
    <t xml:space="preserve">CC BY-NC 4.0 (commercial use: ask)</t>
  </si>
  <si>
    <t xml:space="preserve">CSV, JSON</t>
  </si>
  <si>
    <t xml:space="preserve">PVGIS 5.3 (EU JRC)</t>
  </si>
  <si>
    <t xml:space="preserve">Hourly irradiance and PV output</t>
  </si>
  <si>
    <t xml:space="preserve">SARAH-3 ~4 km; ERA5 ~30 km</t>
  </si>
  <si>
    <t xml:space="preserve">2005–2023; coastline + 25 km offshore</t>
  </si>
  <si>
    <t xml:space="preserve">Free, no key</t>
  </si>
  <si>
    <t xml:space="preserve">not stated</t>
  </si>
  <si>
    <t xml:space="preserve">partly checked</t>
  </si>
  <si>
    <t xml:space="preserve">New European Wind Atlas (NEWA)</t>
  </si>
  <si>
    <t xml:space="preserve">Mesoscale wind time series</t>
  </si>
  <si>
    <t xml:space="preserve">3 km</t>
  </si>
  <si>
    <t xml:space="preserve">Model run 1989–2018</t>
  </si>
  <si>
    <t xml:space="preserve">Free</t>
  </si>
  <si>
    <t xml:space="preserve">not found</t>
  </si>
  <si>
    <t xml:space="preserve">NetCDF</t>
  </si>
  <si>
    <t xml:space="preserve">https://map.neweuropeanwindatlas.eu</t>
  </si>
  <si>
    <t xml:space="preserve">Global Wind Atlas 3</t>
  </si>
  <si>
    <t xml:space="preserve">Long-term mean wind and capacity factors (not a time series)</t>
  </si>
  <si>
    <t xml:space="preserve">Long-term mean</t>
  </si>
  <si>
    <t xml:space="preserve">250 m</t>
  </si>
  <si>
    <t xml:space="preserve">Based on ERA5 2008–2017</t>
  </si>
  <si>
    <t xml:space="preserve">GeoTIFF</t>
  </si>
  <si>
    <t xml:space="preserve">https://globalwindatlas.info</t>
  </si>
  <si>
    <t xml:space="preserve">Energy-Charts API (Fraunhofer ISE)</t>
  </si>
  <si>
    <t xml:space="preserve">Day-ahead prices by bidding zone</t>
  </si>
  <si>
    <t xml:space="preserve">15 minutes (hourly before Oct 2025)</t>
  </si>
  <si>
    <t xml:space="preserve">Bidding zone</t>
  </si>
  <si>
    <t xml:space="preserve">Several years</t>
  </si>
  <si>
    <t xml:space="preserve">No key; 2 requests/minute</t>
  </si>
  <si>
    <t xml:space="preserve">CC BY 4.0 for AT, BE, CH, CZ, DE-LU, DK1, DK2, FR, HU, IT-North, NL, NO2, PL, SE4, SI; other zones private use only</t>
  </si>
  <si>
    <t xml:space="preserve">JSON</t>
  </si>
  <si>
    <t xml:space="preserve">ENTSO-E Transparency Platform</t>
  </si>
  <si>
    <t xml:space="preserve">Day-ahead prices, actual total load</t>
  </si>
  <si>
    <t xml:space="preserve">15 minutes from 1 Oct 2025, hourly before</t>
  </si>
  <si>
    <t xml:space="preserve">Bidding zone / country</t>
  </si>
  <si>
    <t xml:space="preserve">From 2015</t>
  </si>
  <si>
    <t xml:space="preserve">Free account; API token by email request (within 3 working days)</t>
  </si>
  <si>
    <t xml:space="preserve">XML (API), CSV/XLSX (web)</t>
  </si>
  <si>
    <t xml:space="preserve">Energi Data Service (Energinet)</t>
  </si>
  <si>
    <t xml:space="preserve">Day-ahead prices DK1, DK2 and neighbours</t>
  </si>
  <si>
    <t xml:space="preserve">15 minutes from 1 Oct 2025; older hourly dataset 'Elspotprices' to Sep 2025</t>
  </si>
  <si>
    <t xml:space="preserve">1999 onwards</t>
  </si>
  <si>
    <t xml:space="preserve">JSON, CSV, Excel</t>
  </si>
  <si>
    <t xml:space="preserve">https://www.energidataservice.dk/tso-electricity/DayAheadPrices</t>
  </si>
  <si>
    <t xml:space="preserve">RTE éCO2mix via ODRÉ (France)</t>
  </si>
  <si>
    <t xml:space="preserve">National consumption</t>
  </si>
  <si>
    <t xml:space="preserve">30 minutes (definitive data)</t>
  </si>
  <si>
    <t xml:space="preserve">France</t>
  </si>
  <si>
    <t xml:space="preserve">2012–2024 definitive; newer consolidated</t>
  </si>
  <si>
    <t xml:space="preserve">Licence Ouverte 2.0 (not checked)</t>
  </si>
  <si>
    <t xml:space="preserve">CSV, JSON, Excel</t>
  </si>
  <si>
    <t xml:space="preserve">Open Power System Data: time series</t>
  </si>
  <si>
    <t xml:space="preserve">Load, prices, wind and solar profiles</t>
  </si>
  <si>
    <t xml:space="preserve">15/30/60 minutes</t>
  </si>
  <si>
    <t xml:space="preserve">32 countries</t>
  </si>
  <si>
    <t xml:space="preserve">2015 to mid-2020 (last release 2020-10-06)</t>
  </si>
  <si>
    <t xml:space="preserve">Mixed by original source</t>
  </si>
  <si>
    <t xml:space="preserve">CSV, XLSX, SQLite</t>
  </si>
  <si>
    <t xml:space="preserve">https://data.open-power-system-data.org/time_series/</t>
  </si>
  <si>
    <t xml:space="preserve">EMODnet Bathymetry DTM 2024</t>
  </si>
  <si>
    <t xml:space="preserve">Water depth</t>
  </si>
  <si>
    <t xml:space="preserve">—</t>
  </si>
  <si>
    <t xml:space="preserve">1/16 arc-minute (~115 m)</t>
  </si>
  <si>
    <t xml:space="preserve">European seas</t>
  </si>
  <si>
    <t xml:space="preserve">Unrestricted, acknowledgement requested</t>
  </si>
  <si>
    <t xml:space="preserve">GeoTIFF, NetCDF, CSV and more</t>
  </si>
  <si>
    <t xml:space="preserve">GEBCO_2026 grid</t>
  </si>
  <si>
    <t xml:space="preserve">Water depth and elevation</t>
  </si>
  <si>
    <t xml:space="preserve">15 arc-second</t>
  </si>
  <si>
    <t xml:space="preserve">Global</t>
  </si>
  <si>
    <t xml:space="preserve">Public domain</t>
  </si>
  <si>
    <t xml:space="preserve">NetCDF, GeoTIFF, Esri ASCII</t>
  </si>
  <si>
    <t xml:space="preserve">EMODnet Human Activities</t>
  </si>
  <si>
    <t xml:space="preserve">Cables, pipelines, wind farms, vessel density</t>
  </si>
  <si>
    <t xml:space="preserve">Vessel density monthly</t>
  </si>
  <si>
    <t xml:space="preserve">1 km (density)</t>
  </si>
  <si>
    <t xml:space="preserve">European seas; density from 2017</t>
  </si>
  <si>
    <t xml:space="preserve">not checked</t>
  </si>
  <si>
    <t xml:space="preserve">TIFF, WMS, shapefile</t>
  </si>
  <si>
    <t xml:space="preserve">Natura 2000 (EEA)</t>
  </si>
  <si>
    <t xml:space="preserve">Protected sites</t>
  </si>
  <si>
    <t xml:space="preserve">Site polygons</t>
  </si>
  <si>
    <t xml:space="preserve">End-2024 version</t>
  </si>
  <si>
    <t xml:space="preserve">SHP, GeoPackage, WMS</t>
  </si>
  <si>
    <t xml:space="preserve">European Hydrogen Backbone maps</t>
  </si>
  <si>
    <t xml:space="preserve">Planned hydrogen routes 2030 and 2040</t>
  </si>
  <si>
    <t xml:space="preserve">Map</t>
  </si>
  <si>
    <t xml:space="preserve">Pathway to 2040</t>
  </si>
  <si>
    <t xml:space="preserve">Free to view; shapefiles only with written permission</t>
  </si>
  <si>
    <t xml:space="preserve">Copyrighted</t>
  </si>
  <si>
    <t xml:space="preserve">PDF, web map</t>
  </si>
  <si>
    <t xml:space="preserve">ENTSOG TYNDP 2024</t>
  </si>
  <si>
    <t xml:space="preserve">Hydrogen projects, capacities, maps</t>
  </si>
  <si>
    <t xml:space="preserve">Project level</t>
  </si>
  <si>
    <t xml:space="preserve">Final 18 Mar 2026</t>
  </si>
  <si>
    <t xml:space="preserve">PDF, XLSX annexes, dashboards</t>
  </si>
  <si>
    <t xml:space="preserve">OpenInfraMap</t>
  </si>
  <si>
    <t xml:space="preserve">Power lines, substations, pipelines</t>
  </si>
  <si>
    <t xml:space="preserve">OpenStreetMap detail</t>
  </si>
  <si>
    <t xml:space="preserve">ODbL</t>
  </si>
  <si>
    <t xml:space="preserve">Web map; extracts via Overpass</t>
  </si>
  <si>
    <t xml:space="preserve">Danish Energy Agency technology catalogues</t>
  </si>
  <si>
    <t xml:space="preserve">Costs and performance of generation, fuels, storage</t>
  </si>
  <si>
    <t xml:space="preserve">Technology level</t>
  </si>
  <si>
    <t xml:space="preserve">El &amp; DH June 2026; renewable fuels Feb 2026; storage Apr 2024</t>
  </si>
  <si>
    <t xml:space="preserve">XLSX data sheets</t>
  </si>
  <si>
    <t xml:space="preserve">https://ens.dk/en/analyses-and-statistics/technology-data-generation-electricity-and-district-heating</t>
  </si>
  <si>
    <t xml:space="preserve">NLR (formerly NREL) Annual Technology Baseline 2025</t>
  </si>
  <si>
    <t xml:space="preserve">Cost projections incl. fixed and floating offshore wind</t>
  </si>
  <si>
    <t xml:space="preserve">2025 edition</t>
  </si>
  <si>
    <t xml:space="preserve">Disclaimer only</t>
  </si>
  <si>
    <t xml:space="preserve">XLSX, CSV, Parquet</t>
  </si>
  <si>
    <t xml:space="preserve">https://atb.nlr.gov/electricity/2025/data</t>
  </si>
  <si>
    <t xml:space="preserve">ACER unit investment cost indicators</t>
  </si>
  <si>
    <t xml:space="preserve">Unit costs of grid and hydrogen infrastructure</t>
  </si>
  <si>
    <t xml:space="preserve">Asset class</t>
  </si>
  <si>
    <t xml:space="preserve">2023 report; 2026 data collection under way</t>
  </si>
  <si>
    <t xml:space="preserve">PDF</t>
  </si>
  <si>
    <t xml:space="preserve">https://www.acer.europa.eu</t>
  </si>
  <si>
    <t xml:space="preserve">IEA 15 MW reference turbine</t>
  </si>
  <si>
    <t xml:space="preserve">Power curve used by the built-in wind conversion</t>
  </si>
  <si>
    <t xml:space="preserve">Open source</t>
  </si>
  <si>
    <t xml:space="preserve">CSV, YAML, XLSX</t>
  </si>
  <si>
    <t xml:space="preserve">https://github.com/IEAWindTask37/IEA-15-240-RWT</t>
  </si>
  <si>
    <t xml:space="preserve">The app needs internet access for these buttons (Streamlit Community Cloud has it). Without it, upload the series instead.</t>
  </si>
  <si>
    <t xml:space="preserve">Where in the app</t>
  </si>
  <si>
    <t xml:space="preserve">Service and query</t>
  </si>
  <si>
    <t xml:space="preserve">Conversion</t>
  </si>
  <si>
    <t xml:space="preserve">Resolution</t>
  </si>
  <si>
    <t xml:space="preserve">Notes</t>
  </si>
  <si>
    <t xml:space="preserve">Data → Download by coordinates → Get wind and solar</t>
  </si>
  <si>
    <t xml:space="preserve">Open-Meteo archive API, model ERA5, at the island coordinates, one calendar year</t>
  </si>
  <si>
    <t xml:space="preserve">100 m wind → 150 m hub height (power law, exponent 0.11) → IEA 15 MW power curve smoothed to farm level (Gaussian, σ = 0.6 + 0.2·v m/s) → 12.5 % losses</t>
  </si>
  <si>
    <t xml:space="preserve">Hourly, ~25 km grid</t>
  </si>
  <si>
    <t xml:space="preserve">First estimate only; ERA5 slightly smooths peaks. Replace with your own farm model for a project.</t>
  </si>
  <si>
    <t xml:space="preserve">Solar capacity factor</t>
  </si>
  <si>
    <t xml:space="preserve">same button</t>
  </si>
  <si>
    <t xml:space="preserve">Open-Meteo ERA5 global and diffuse irradiance, 2 m temperature, 10 m wind</t>
  </si>
  <si>
    <t xml:space="preserve">pvlib: 10° tilt facing the equator, albedo 0.06, Faiman cell temperature with water cooling (u0 = 35), PVWatts −0.35 %/K, 14 % losses</t>
  </si>
  <si>
    <t xml:space="preserve">Floating PV at sea; check wave exposure separately.</t>
  </si>
  <si>
    <t xml:space="preserve">Day-ahead price</t>
  </si>
  <si>
    <t xml:space="preserve">Data → Download by coordinates → Get prices</t>
  </si>
  <si>
    <t xml:space="preserve">Energy-Charts /price endpoint for the chosen bidding zone and year</t>
  </si>
  <si>
    <t xml:space="preserve">15-minute prices averaged to hours; gaps interpolated; 29 February removed</t>
  </si>
  <si>
    <t xml:space="preserve">The service allows 2 requests per minute; if it is busy, wait a minute. For zones outside the CC BY list the data are for private use only.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</si>
</sst>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2A3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6F8B"/>
      <name val="Arial"/>
      <family val="0"/>
      <charset val="1"/>
    </font>
    <font>
      <i val="true"/>
      <sz val="10"/>
      <color rgb="FF4D5D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6F8B"/>
      <name val="Arial"/>
      <family val="0"/>
      <charset val="1"/>
    </font>
    <font>
      <b val="true"/>
      <sz val="13"/>
      <color rgb="FF0E2A3B"/>
      <name val="Arial"/>
      <family val="0"/>
      <charset val="1"/>
    </font>
    <font>
      <b val="true"/>
      <sz val="12"/>
      <color rgb="FF0E2A3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E2A3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D"/>
      </left>
      <right style="thin">
        <color rgb="FFC9D6DD"/>
      </right>
      <top style="thin">
        <color rgb="FFC9D6DD"/>
      </top>
      <bottom style="thin">
        <color rgb="FFC9D6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6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D5D66"/>
      <rgbColor rgb="FF969696"/>
      <rgbColor rgb="FF0E2A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open-meteo.com/en/docs/historical-weather-api" TargetMode="External"/><Relationship Id="rId2" Type="http://schemas.openxmlformats.org/officeDocument/2006/relationships/hyperlink" Target="https://www.renewables.ninja/" TargetMode="External"/><Relationship Id="rId3" Type="http://schemas.openxmlformats.org/officeDocument/2006/relationships/hyperlink" Target="https://re.jrc.ec.europa.eu/pvg_tools/en/" TargetMode="External"/><Relationship Id="rId4" Type="http://schemas.openxmlformats.org/officeDocument/2006/relationships/hyperlink" Target="https://www.renewables.ninja/" TargetMode="External"/><Relationship Id="rId5" Type="http://schemas.openxmlformats.org/officeDocument/2006/relationships/hyperlink" Target="https://api.energy-charts.info/" TargetMode="External"/><Relationship Id="rId6" Type="http://schemas.openxmlformats.org/officeDocument/2006/relationships/hyperlink" Target="https://transparency.entsoe.eu/" TargetMode="External"/><Relationship Id="rId7" Type="http://schemas.openxmlformats.org/officeDocument/2006/relationships/hyperlink" Target="https://transparency.entsoe.eu/" TargetMode="External"/><Relationship Id="rId8" Type="http://schemas.openxmlformats.org/officeDocument/2006/relationships/hyperlink" Target="https://odre.opendatasoft.com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emodnet.ec.europa.eu/geoviewer/" TargetMode="External"/><Relationship Id="rId2" Type="http://schemas.openxmlformats.org/officeDocument/2006/relationships/hyperlink" Target="https://download.gebco.net/" TargetMode="External"/><Relationship Id="rId3" Type="http://schemas.openxmlformats.org/officeDocument/2006/relationships/hyperlink" Target="https://emodnet.ec.europa.eu/en/human-activities" TargetMode="External"/><Relationship Id="rId4" Type="http://schemas.openxmlformats.org/officeDocument/2006/relationships/hyperlink" Target="https://maritime-spatial-planning.ec.europa.eu/" TargetMode="External"/><Relationship Id="rId5" Type="http://schemas.openxmlformats.org/officeDocument/2006/relationships/hyperlink" Target="https://openinframap.org/" TargetMode="External"/><Relationship Id="rId6" Type="http://schemas.openxmlformats.org/officeDocument/2006/relationships/hyperlink" Target="https://www.entsoe.eu/data/map/" TargetMode="External"/><Relationship Id="rId7" Type="http://schemas.openxmlformats.org/officeDocument/2006/relationships/hyperlink" Target="https://ehb.eu/page/european-hydrogen-backbone-maps" TargetMode="External"/><Relationship Id="rId8" Type="http://schemas.openxmlformats.org/officeDocument/2006/relationships/hyperlink" Target="https://www.entsog.eu/tyndp" TargetMode="External"/><Relationship Id="rId9" Type="http://schemas.openxmlformats.org/officeDocument/2006/relationships/hyperlink" Target="https://emodnet.ec.europa.eu/en/human-activities" TargetMode="External"/><Relationship Id="rId10" Type="http://schemas.openxmlformats.org/officeDocument/2006/relationships/hyperlink" Target="https://www.entsoe.eu/data/map/" TargetMode="External"/><Relationship Id="rId11" Type="http://schemas.openxmlformats.org/officeDocument/2006/relationships/hyperlink" Target="https://www.entsog.eu/tyndp" TargetMode="External"/><Relationship Id="rId12" Type="http://schemas.openxmlformats.org/officeDocument/2006/relationships/hyperlink" Target="https://emodnet.ec.europa.eu/en/human-activities" TargetMode="External"/><Relationship Id="rId13" Type="http://schemas.openxmlformats.org/officeDocument/2006/relationships/hyperlink" Target="https://www.entsog.eu/tyndp" TargetMode="External"/><Relationship Id="rId14" Type="http://schemas.openxmlformats.org/officeDocument/2006/relationships/hyperlink" Target="https://natura2000.eea.europa.eu/" TargetMode="External"/><Relationship Id="rId15" Type="http://schemas.openxmlformats.org/officeDocument/2006/relationships/hyperlink" Target="https://emodnet.ec.europa.eu/en/human-activities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open-meteo.com/en/docs/historical-weather-api" TargetMode="External"/><Relationship Id="rId2" Type="http://schemas.openxmlformats.org/officeDocument/2006/relationships/hyperlink" Target="https://cds.climate.copernicus.eu/datasets/reanalysis-era5-single-levels" TargetMode="External"/><Relationship Id="rId3" Type="http://schemas.openxmlformats.org/officeDocument/2006/relationships/hyperlink" Target="https://www.renewables.ninja/" TargetMode="External"/><Relationship Id="rId4" Type="http://schemas.openxmlformats.org/officeDocument/2006/relationships/hyperlink" Target="https://re.jrc.ec.europa.eu/pvg_tools/en/" TargetMode="External"/><Relationship Id="rId5" Type="http://schemas.openxmlformats.org/officeDocument/2006/relationships/hyperlink" Target="https://map.neweuropeanwindatlas.eu/" TargetMode="External"/><Relationship Id="rId6" Type="http://schemas.openxmlformats.org/officeDocument/2006/relationships/hyperlink" Target="https://globalwindatlas.info/" TargetMode="External"/><Relationship Id="rId7" Type="http://schemas.openxmlformats.org/officeDocument/2006/relationships/hyperlink" Target="https://api.energy-charts.info/" TargetMode="External"/><Relationship Id="rId8" Type="http://schemas.openxmlformats.org/officeDocument/2006/relationships/hyperlink" Target="https://transparency.entsoe.eu/" TargetMode="External"/><Relationship Id="rId9" Type="http://schemas.openxmlformats.org/officeDocument/2006/relationships/hyperlink" Target="https://www.energidataservice.dk/tso-electricity/DayAheadPrices" TargetMode="External"/><Relationship Id="rId10" Type="http://schemas.openxmlformats.org/officeDocument/2006/relationships/hyperlink" Target="https://odre.opendatasoft.com/" TargetMode="External"/><Relationship Id="rId11" Type="http://schemas.openxmlformats.org/officeDocument/2006/relationships/hyperlink" Target="https://data.open-power-system-data.org/time_series/" TargetMode="External"/><Relationship Id="rId12" Type="http://schemas.openxmlformats.org/officeDocument/2006/relationships/hyperlink" Target="https://emodnet.ec.europa.eu/geoviewer/" TargetMode="External"/><Relationship Id="rId13" Type="http://schemas.openxmlformats.org/officeDocument/2006/relationships/hyperlink" Target="https://download.gebco.net/" TargetMode="External"/><Relationship Id="rId14" Type="http://schemas.openxmlformats.org/officeDocument/2006/relationships/hyperlink" Target="https://emodnet.ec.europa.eu/en/human-activities" TargetMode="External"/><Relationship Id="rId15" Type="http://schemas.openxmlformats.org/officeDocument/2006/relationships/hyperlink" Target="https://natura2000.eea.europa.eu/" TargetMode="External"/><Relationship Id="rId16" Type="http://schemas.openxmlformats.org/officeDocument/2006/relationships/hyperlink" Target="https://ehb.eu/page/european-hydrogen-backbone-maps" TargetMode="External"/><Relationship Id="rId17" Type="http://schemas.openxmlformats.org/officeDocument/2006/relationships/hyperlink" Target="https://www.entsog.eu/tyndp" TargetMode="External"/><Relationship Id="rId18" Type="http://schemas.openxmlformats.org/officeDocument/2006/relationships/hyperlink" Target="https://openinframap.org/" TargetMode="External"/><Relationship Id="rId19" Type="http://schemas.openxmlformats.org/officeDocument/2006/relationships/hyperlink" Target="https://ens.dk/en/analyses-and-statistics/technology-data-generation-electricity-and-district-heating" TargetMode="External"/><Relationship Id="rId20" Type="http://schemas.openxmlformats.org/officeDocument/2006/relationships/hyperlink" Target="https://atb.nlr.gov/electricity/2025/data" TargetMode="External"/><Relationship Id="rId21" Type="http://schemas.openxmlformats.org/officeDocument/2006/relationships/hyperlink" Target="https://www.acer.europa.eu/" TargetMode="External"/><Relationship Id="rId22" Type="http://schemas.openxmlformats.org/officeDocument/2006/relationships/hyperlink" Target="https://github.com/IEAWindTask37/IEA-15-240-RW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23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60"/>
    <col collapsed="false" customWidth="true" hidden="false" outlineLevel="0" max="7" min="7" style="0" width="52"/>
    <col collapsed="false" customWidth="true" hidden="false" outlineLevel="0" max="9" min="8" style="0" width="34"/>
  </cols>
  <sheetData>
    <row r="1" customFormat="false" ht="42" hidden="false" customHeight="true" outlineLevel="0" collapsed="false">
      <c r="A1" s="5" t="s">
        <v>16</v>
      </c>
      <c r="B1" s="5"/>
      <c r="C1" s="5"/>
      <c r="D1" s="5"/>
      <c r="E1" s="5"/>
      <c r="F1" s="5"/>
      <c r="G1" s="5"/>
      <c r="H1" s="5"/>
      <c r="I1" s="5"/>
    </row>
    <row r="3" customFormat="false" ht="23.8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customFormat="false" ht="46.25" hidden="false" customHeight="false" outlineLevel="0" collapsed="false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8" t="s">
        <v>33</v>
      </c>
      <c r="I4" s="8" t="s">
        <v>34</v>
      </c>
    </row>
    <row r="5" customFormat="false" ht="35.05" hidden="false" customHeight="false" outlineLevel="0" collapsed="false">
      <c r="A5" s="7" t="s">
        <v>35</v>
      </c>
      <c r="B5" s="7" t="s">
        <v>36</v>
      </c>
      <c r="C5" s="7" t="s">
        <v>28</v>
      </c>
      <c r="D5" s="7" t="s">
        <v>37</v>
      </c>
      <c r="E5" s="7" t="s">
        <v>38</v>
      </c>
      <c r="F5" s="7" t="s">
        <v>39</v>
      </c>
      <c r="G5" s="7" t="s">
        <v>40</v>
      </c>
      <c r="H5" s="8" t="s">
        <v>41</v>
      </c>
      <c r="I5" s="8" t="s">
        <v>34</v>
      </c>
    </row>
    <row r="6" customFormat="false" ht="35.05" hidden="false" customHeight="false" outlineLevel="0" collapsed="false">
      <c r="A6" s="7" t="s">
        <v>42</v>
      </c>
      <c r="B6" s="7" t="s">
        <v>43</v>
      </c>
      <c r="C6" s="7" t="s">
        <v>44</v>
      </c>
      <c r="D6" s="7" t="s">
        <v>45</v>
      </c>
      <c r="E6" s="7" t="s">
        <v>46</v>
      </c>
      <c r="F6" s="7" t="s">
        <v>47</v>
      </c>
      <c r="G6" s="7" t="s">
        <v>48</v>
      </c>
      <c r="H6" s="8" t="s">
        <v>49</v>
      </c>
      <c r="I6" s="8" t="s">
        <v>50</v>
      </c>
    </row>
    <row r="7" customFormat="false" ht="35.05" hidden="false" customHeight="false" outlineLevel="0" collapsed="false">
      <c r="A7" s="7" t="s">
        <v>51</v>
      </c>
      <c r="B7" s="7" t="s">
        <v>52</v>
      </c>
      <c r="C7" s="7" t="s">
        <v>53</v>
      </c>
      <c r="D7" s="7" t="s">
        <v>54</v>
      </c>
      <c r="E7" s="7" t="s">
        <v>55</v>
      </c>
      <c r="F7" s="7" t="s">
        <v>56</v>
      </c>
      <c r="G7" s="7" t="s">
        <v>57</v>
      </c>
      <c r="H7" s="8" t="s">
        <v>50</v>
      </c>
      <c r="I7" s="8" t="s">
        <v>58</v>
      </c>
    </row>
    <row r="8" customFormat="false" ht="35.05" hidden="false" customHeight="false" outlineLevel="0" collapsed="false">
      <c r="A8" s="7" t="s">
        <v>59</v>
      </c>
      <c r="B8" s="7" t="s">
        <v>60</v>
      </c>
      <c r="C8" s="7" t="s">
        <v>61</v>
      </c>
      <c r="D8" s="7" t="s">
        <v>62</v>
      </c>
      <c r="E8" s="7" t="s">
        <v>63</v>
      </c>
      <c r="F8" s="7" t="s">
        <v>64</v>
      </c>
      <c r="G8" s="7" t="s">
        <v>65</v>
      </c>
      <c r="H8" s="7"/>
      <c r="I8" s="7"/>
    </row>
  </sheetData>
  <mergeCells count="1">
    <mergeCell ref="A1:I1"/>
  </mergeCells>
  <hyperlinks>
    <hyperlink ref="H4" r:id="rId1" display="https://open-meteo.com/en/docs/historical-weather-api"/>
    <hyperlink ref="I4" r:id="rId2" display="https://www.renewables.ninja"/>
    <hyperlink ref="H5" r:id="rId3" display="https://re.jrc.ec.europa.eu/pvg_tools/en/"/>
    <hyperlink ref="I5" r:id="rId4" display="https://www.renewables.ninja"/>
    <hyperlink ref="H6" r:id="rId5" display="https://api.energy-charts.info"/>
    <hyperlink ref="I6" r:id="rId6" display="https://transparency.entsoe.eu"/>
    <hyperlink ref="H7" r:id="rId7" display="https://transparency.entsoe.eu"/>
    <hyperlink ref="I7" r:id="rId8" display="https://odre.opendatasoft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9" t="s">
        <v>66</v>
      </c>
    </row>
    <row r="3" customFormat="false" ht="27.75" hidden="false" customHeight="true" outlineLevel="0" collapsed="false">
      <c r="A3" s="10" t="s">
        <v>67</v>
      </c>
      <c r="B3" s="10"/>
      <c r="C3" s="10"/>
      <c r="D3" s="10"/>
      <c r="E3" s="10"/>
      <c r="F3" s="10"/>
      <c r="G3" s="10"/>
    </row>
    <row r="4" customFormat="false" ht="27.75" hidden="false" customHeight="true" outlineLevel="0" collapsed="false">
      <c r="A4" s="10" t="s">
        <v>68</v>
      </c>
      <c r="B4" s="10"/>
      <c r="C4" s="10"/>
      <c r="D4" s="10"/>
      <c r="E4" s="10"/>
      <c r="F4" s="10"/>
      <c r="G4" s="10"/>
    </row>
    <row r="5" customFormat="false" ht="27.75" hidden="false" customHeight="true" outlineLevel="0" collapsed="false">
      <c r="A5" s="10" t="s">
        <v>69</v>
      </c>
      <c r="B5" s="10"/>
      <c r="C5" s="10"/>
      <c r="D5" s="10"/>
      <c r="E5" s="10"/>
      <c r="F5" s="10"/>
      <c r="G5" s="10"/>
    </row>
    <row r="6" customFormat="false" ht="27.75" hidden="false" customHeight="true" outlineLevel="0" collapsed="false">
      <c r="A6" s="10" t="s">
        <v>70</v>
      </c>
      <c r="B6" s="10"/>
      <c r="C6" s="10"/>
      <c r="D6" s="10"/>
      <c r="E6" s="10"/>
      <c r="F6" s="10"/>
      <c r="G6" s="10"/>
    </row>
    <row r="7" customFormat="false" ht="27.75" hidden="false" customHeight="true" outlineLevel="0" collapsed="false">
      <c r="A7" s="10" t="s">
        <v>71</v>
      </c>
      <c r="B7" s="10"/>
      <c r="C7" s="10"/>
      <c r="D7" s="10"/>
      <c r="E7" s="10"/>
      <c r="F7" s="10"/>
      <c r="G7" s="10"/>
    </row>
    <row r="8" customFormat="false" ht="27.75" hidden="false" customHeight="true" outlineLevel="0" collapsed="false">
      <c r="A8" s="10" t="s">
        <v>72</v>
      </c>
      <c r="B8" s="10"/>
      <c r="C8" s="10"/>
      <c r="D8" s="10"/>
      <c r="E8" s="10"/>
      <c r="F8" s="10"/>
      <c r="G8" s="10"/>
    </row>
    <row r="9" customFormat="false" ht="27.75" hidden="false" customHeight="true" outlineLevel="0" collapsed="false">
      <c r="A9" s="10" t="s">
        <v>73</v>
      </c>
      <c r="B9" s="10"/>
      <c r="C9" s="10"/>
      <c r="D9" s="10"/>
      <c r="E9" s="10"/>
      <c r="F9" s="10"/>
      <c r="G9" s="10"/>
    </row>
    <row r="10" customFormat="false" ht="27.75" hidden="false" customHeight="true" outlineLevel="0" collapsed="false">
      <c r="A10" s="10" t="s">
        <v>74</v>
      </c>
      <c r="B10" s="10"/>
      <c r="C10" s="10"/>
      <c r="D10" s="10"/>
      <c r="E10" s="10"/>
      <c r="F10" s="10"/>
      <c r="G10" s="10"/>
    </row>
    <row r="12" customFormat="false" ht="15" hidden="false" customHeight="false" outlineLevel="0" collapsed="false">
      <c r="A12" s="11" t="s">
        <v>75</v>
      </c>
      <c r="B12" s="11" t="s">
        <v>76</v>
      </c>
      <c r="C12" s="11" t="s">
        <v>27</v>
      </c>
      <c r="D12" s="11" t="s">
        <v>36</v>
      </c>
      <c r="E12" s="11" t="s">
        <v>43</v>
      </c>
      <c r="F12" s="11" t="s">
        <v>52</v>
      </c>
      <c r="G12" s="11" t="s">
        <v>60</v>
      </c>
    </row>
    <row r="13" customFormat="false" ht="15" hidden="false" customHeight="false" outlineLevel="0" collapsed="false">
      <c r="A13" s="12" t="n">
        <v>1</v>
      </c>
      <c r="B13" s="12" t="s">
        <v>77</v>
      </c>
      <c r="C13" s="13" t="n">
        <v>0.04315</v>
      </c>
      <c r="D13" s="13" t="n">
        <v>0</v>
      </c>
      <c r="E13" s="14" t="n">
        <v>46.27</v>
      </c>
      <c r="F13" s="14"/>
      <c r="G13" s="14"/>
    </row>
    <row r="14" customFormat="false" ht="15" hidden="false" customHeight="false" outlineLevel="0" collapsed="false">
      <c r="A14" s="12" t="n">
        <v>2</v>
      </c>
      <c r="B14" s="12" t="s">
        <v>78</v>
      </c>
      <c r="C14" s="13" t="n">
        <v>0.05279</v>
      </c>
      <c r="D14" s="13" t="n">
        <v>0</v>
      </c>
      <c r="E14" s="14" t="n">
        <v>39.78</v>
      </c>
      <c r="F14" s="14"/>
      <c r="G14" s="14"/>
    </row>
    <row r="15" customFormat="false" ht="15" hidden="false" customHeight="false" outlineLevel="0" collapsed="false">
      <c r="A15" s="12" t="n">
        <v>3</v>
      </c>
      <c r="B15" s="12" t="s">
        <v>79</v>
      </c>
      <c r="C15" s="13" t="n">
        <v>0.05705</v>
      </c>
      <c r="D15" s="13" t="n">
        <v>0</v>
      </c>
      <c r="E15" s="14" t="n">
        <v>27.87</v>
      </c>
      <c r="F15" s="14"/>
      <c r="G15" s="14"/>
    </row>
    <row r="16" customFormat="false" ht="15" hidden="false" customHeight="false" outlineLevel="0" collapsed="false">
      <c r="A16" s="12" t="n">
        <v>4</v>
      </c>
      <c r="B16" s="12" t="s">
        <v>80</v>
      </c>
      <c r="C16" s="13" t="n">
        <v>0.05279</v>
      </c>
      <c r="D16" s="13" t="n">
        <v>0</v>
      </c>
      <c r="E16" s="14" t="n">
        <v>23.21</v>
      </c>
      <c r="F16" s="14"/>
      <c r="G16" s="14"/>
    </row>
    <row r="17" customFormat="false" ht="15" hidden="false" customHeight="false" outlineLevel="0" collapsed="false">
      <c r="A17" s="12" t="n">
        <v>5</v>
      </c>
      <c r="B17" s="12" t="s">
        <v>81</v>
      </c>
      <c r="C17" s="13" t="n">
        <v>0.05513</v>
      </c>
      <c r="D17" s="13" t="n">
        <v>0</v>
      </c>
      <c r="E17" s="14" t="n">
        <v>22.64</v>
      </c>
      <c r="F17" s="14"/>
      <c r="G17" s="14"/>
    </row>
    <row r="18" customFormat="false" ht="15" hidden="false" customHeight="false" outlineLevel="0" collapsed="false">
      <c r="A18" s="12" t="n">
        <v>6</v>
      </c>
      <c r="B18" s="12" t="s">
        <v>82</v>
      </c>
      <c r="C18" s="13" t="n">
        <v>0.06937</v>
      </c>
      <c r="D18" s="13" t="n">
        <v>0</v>
      </c>
      <c r="E18" s="14" t="n">
        <v>20.9</v>
      </c>
      <c r="F18" s="14"/>
      <c r="G18" s="14"/>
    </row>
    <row r="19" customFormat="false" ht="15" hidden="false" customHeight="false" outlineLevel="0" collapsed="false">
      <c r="A19" s="12" t="n">
        <v>7</v>
      </c>
      <c r="B19" s="12" t="s">
        <v>83</v>
      </c>
      <c r="C19" s="13" t="n">
        <v>0.06991</v>
      </c>
      <c r="D19" s="13" t="n">
        <v>0</v>
      </c>
      <c r="E19" s="14" t="n">
        <v>26.54</v>
      </c>
      <c r="F19" s="14"/>
      <c r="G19" s="14"/>
    </row>
    <row r="20" customFormat="false" ht="15" hidden="false" customHeight="false" outlineLevel="0" collapsed="false">
      <c r="A20" s="12" t="n">
        <v>8</v>
      </c>
      <c r="B20" s="12" t="s">
        <v>84</v>
      </c>
      <c r="C20" s="13" t="n">
        <v>0.05609</v>
      </c>
      <c r="D20" s="13" t="n">
        <v>0</v>
      </c>
      <c r="E20" s="14" t="n">
        <v>25</v>
      </c>
      <c r="F20" s="14"/>
      <c r="G20" s="14"/>
    </row>
    <row r="21" customFormat="false" ht="15" hidden="false" customHeight="false" outlineLevel="0" collapsed="false">
      <c r="A21" s="12" t="n">
        <v>9</v>
      </c>
      <c r="B21" s="12" t="s">
        <v>85</v>
      </c>
      <c r="C21" s="13" t="n">
        <v>0.04567</v>
      </c>
      <c r="D21" s="13" t="n">
        <v>0</v>
      </c>
      <c r="E21" s="14" t="n">
        <v>25</v>
      </c>
      <c r="F21" s="14"/>
      <c r="G21" s="14"/>
    </row>
    <row r="22" customFormat="false" ht="15" hidden="false" customHeight="false" outlineLevel="0" collapsed="false">
      <c r="A22" s="12" t="n">
        <v>10</v>
      </c>
      <c r="B22" s="12" t="s">
        <v>86</v>
      </c>
      <c r="C22" s="13" t="n">
        <v>0.02942</v>
      </c>
      <c r="D22" s="13" t="n">
        <v>0.03586</v>
      </c>
      <c r="E22" s="14" t="n">
        <v>34.64</v>
      </c>
      <c r="F22" s="14"/>
      <c r="G22" s="14"/>
    </row>
    <row r="23" customFormat="false" ht="15" hidden="false" customHeight="false" outlineLevel="0" collapsed="false">
      <c r="A23" s="12" t="n">
        <v>11</v>
      </c>
      <c r="B23" s="12" t="s">
        <v>87</v>
      </c>
      <c r="C23" s="13" t="n">
        <v>0.01918</v>
      </c>
      <c r="D23" s="13" t="n">
        <v>0.10373</v>
      </c>
      <c r="E23" s="14" t="n">
        <v>41.03</v>
      </c>
      <c r="F23" s="14"/>
      <c r="G23" s="14"/>
    </row>
    <row r="24" customFormat="false" ht="15" hidden="false" customHeight="false" outlineLevel="0" collapsed="false">
      <c r="A24" s="12" t="n">
        <v>12</v>
      </c>
      <c r="B24" s="12" t="s">
        <v>88</v>
      </c>
      <c r="C24" s="13" t="n">
        <v>0.00753</v>
      </c>
      <c r="D24" s="13" t="n">
        <v>0.16875</v>
      </c>
      <c r="E24" s="14" t="n">
        <v>48.97</v>
      </c>
      <c r="F24" s="14"/>
      <c r="G24" s="14"/>
    </row>
    <row r="25" customFormat="false" ht="15" hidden="false" customHeight="false" outlineLevel="0" collapsed="false">
      <c r="A25" s="12" t="n">
        <v>13</v>
      </c>
      <c r="B25" s="12" t="s">
        <v>89</v>
      </c>
      <c r="C25" s="13" t="n">
        <v>0.00548</v>
      </c>
      <c r="D25" s="13" t="n">
        <v>0.16578</v>
      </c>
      <c r="E25" s="14" t="n">
        <v>41.06</v>
      </c>
      <c r="F25" s="14"/>
      <c r="G25" s="14"/>
    </row>
    <row r="26" customFormat="false" ht="15" hidden="false" customHeight="false" outlineLevel="0" collapsed="false">
      <c r="A26" s="12" t="n">
        <v>14</v>
      </c>
      <c r="B26" s="12" t="s">
        <v>90</v>
      </c>
      <c r="C26" s="13" t="n">
        <v>0.01995</v>
      </c>
      <c r="D26" s="13" t="n">
        <v>0.20875</v>
      </c>
      <c r="E26" s="14" t="n">
        <v>37.95</v>
      </c>
      <c r="F26" s="14"/>
      <c r="G26" s="14"/>
    </row>
    <row r="27" customFormat="false" ht="15" hidden="false" customHeight="false" outlineLevel="0" collapsed="false">
      <c r="A27" s="12" t="n">
        <v>15</v>
      </c>
      <c r="B27" s="12" t="s">
        <v>91</v>
      </c>
      <c r="C27" s="13" t="n">
        <v>0.05754</v>
      </c>
      <c r="D27" s="13" t="n">
        <v>0.16445</v>
      </c>
      <c r="E27" s="14" t="n">
        <v>33.42</v>
      </c>
      <c r="F27" s="14"/>
      <c r="G27" s="14"/>
    </row>
    <row r="28" customFormat="false" ht="15" hidden="false" customHeight="false" outlineLevel="0" collapsed="false">
      <c r="A28" s="12" t="n">
        <v>16</v>
      </c>
      <c r="B28" s="12" t="s">
        <v>92</v>
      </c>
      <c r="C28" s="13" t="n">
        <v>0.0886</v>
      </c>
      <c r="D28" s="13" t="n">
        <v>0.12057</v>
      </c>
      <c r="E28" s="14" t="n">
        <v>39.8</v>
      </c>
      <c r="F28" s="14"/>
      <c r="G28" s="14"/>
    </row>
    <row r="29" customFormat="false" ht="15" hidden="false" customHeight="false" outlineLevel="0" collapsed="false">
      <c r="A29" s="12" t="n">
        <v>17</v>
      </c>
      <c r="B29" s="12" t="s">
        <v>93</v>
      </c>
      <c r="C29" s="13" t="n">
        <v>0.09111</v>
      </c>
      <c r="D29" s="13" t="n">
        <v>0.03662</v>
      </c>
      <c r="E29" s="14" t="n">
        <v>44.29</v>
      </c>
      <c r="F29" s="14"/>
      <c r="G29" s="14"/>
    </row>
    <row r="30" customFormat="false" ht="15" hidden="false" customHeight="false" outlineLevel="0" collapsed="false">
      <c r="A30" s="12" t="n">
        <v>18</v>
      </c>
      <c r="B30" s="12" t="s">
        <v>94</v>
      </c>
      <c r="C30" s="13" t="n">
        <v>0.0849</v>
      </c>
      <c r="D30" s="13" t="n">
        <v>0.00269</v>
      </c>
      <c r="E30" s="14" t="n">
        <v>62.65</v>
      </c>
      <c r="F30" s="14"/>
      <c r="G30" s="14"/>
    </row>
    <row r="31" customFormat="false" ht="15" hidden="false" customHeight="false" outlineLevel="0" collapsed="false">
      <c r="A31" s="12" t="n">
        <v>19</v>
      </c>
      <c r="B31" s="12" t="s">
        <v>95</v>
      </c>
      <c r="C31" s="13" t="n">
        <v>0.13066</v>
      </c>
      <c r="D31" s="13" t="n">
        <v>0</v>
      </c>
      <c r="E31" s="14" t="n">
        <v>65.56</v>
      </c>
      <c r="F31" s="14"/>
      <c r="G31" s="14"/>
    </row>
    <row r="32" customFormat="false" ht="15" hidden="false" customHeight="false" outlineLevel="0" collapsed="false">
      <c r="A32" s="12" t="n">
        <v>20</v>
      </c>
      <c r="B32" s="12" t="s">
        <v>96</v>
      </c>
      <c r="C32" s="13" t="n">
        <v>0.17573</v>
      </c>
      <c r="D32" s="13" t="n">
        <v>0</v>
      </c>
      <c r="E32" s="14" t="n">
        <v>61.27</v>
      </c>
      <c r="F32" s="14"/>
      <c r="G32" s="14"/>
    </row>
    <row r="33" customFormat="false" ht="15" hidden="false" customHeight="false" outlineLevel="0" collapsed="false">
      <c r="A33" s="12" t="n">
        <v>21</v>
      </c>
      <c r="B33" s="12" t="s">
        <v>97</v>
      </c>
      <c r="C33" s="13" t="n">
        <v>0.2177</v>
      </c>
      <c r="D33" s="13" t="n">
        <v>0</v>
      </c>
      <c r="E33" s="14" t="n">
        <v>57.41</v>
      </c>
      <c r="F33" s="14"/>
      <c r="G33" s="14"/>
    </row>
    <row r="34" customFormat="false" ht="15" hidden="false" customHeight="false" outlineLevel="0" collapsed="false">
      <c r="A34" s="12" t="n">
        <v>22</v>
      </c>
      <c r="B34" s="12" t="s">
        <v>98</v>
      </c>
      <c r="C34" s="13" t="n">
        <v>0.21258</v>
      </c>
      <c r="D34" s="13" t="n">
        <v>0</v>
      </c>
      <c r="E34" s="14" t="n">
        <v>58.65</v>
      </c>
      <c r="F34" s="14"/>
      <c r="G34" s="14"/>
    </row>
    <row r="35" customFormat="false" ht="15" hidden="false" customHeight="false" outlineLevel="0" collapsed="false">
      <c r="A35" s="12" t="n">
        <v>23</v>
      </c>
      <c r="B35" s="12" t="s">
        <v>99</v>
      </c>
      <c r="C35" s="13" t="n">
        <v>0.27306</v>
      </c>
      <c r="D35" s="13" t="n">
        <v>0</v>
      </c>
      <c r="E35" s="14" t="n">
        <v>54.91</v>
      </c>
      <c r="F35" s="14"/>
      <c r="G35" s="14"/>
    </row>
    <row r="36" customFormat="false" ht="15" hidden="false" customHeight="false" outlineLevel="0" collapsed="false">
      <c r="A36" s="12" t="n">
        <v>24</v>
      </c>
      <c r="B36" s="12" t="s">
        <v>100</v>
      </c>
      <c r="C36" s="13" t="n">
        <v>0.2177</v>
      </c>
      <c r="D36" s="13" t="n">
        <v>0</v>
      </c>
      <c r="E36" s="14" t="n">
        <v>53.11</v>
      </c>
      <c r="F36" s="14"/>
      <c r="G36" s="14"/>
    </row>
    <row r="37" customFormat="false" ht="15" hidden="false" customHeight="false" outlineLevel="0" collapsed="false">
      <c r="A37" s="12" t="n">
        <v>25</v>
      </c>
      <c r="B37" s="12" t="s">
        <v>101</v>
      </c>
      <c r="C37" s="13" t="n">
        <v>0.14845</v>
      </c>
      <c r="D37" s="13" t="n">
        <v>0</v>
      </c>
      <c r="E37" s="14" t="n">
        <v>45.87</v>
      </c>
      <c r="F37" s="14"/>
      <c r="G37" s="14"/>
    </row>
    <row r="38" customFormat="false" ht="15" hidden="false" customHeight="false" outlineLevel="0" collapsed="false">
      <c r="A38" s="12" t="n">
        <v>26</v>
      </c>
      <c r="B38" s="12" t="s">
        <v>102</v>
      </c>
      <c r="C38" s="13" t="n">
        <v>0.06151</v>
      </c>
      <c r="D38" s="13" t="n">
        <v>0</v>
      </c>
      <c r="E38" s="14" t="n">
        <v>39.15</v>
      </c>
      <c r="F38" s="14"/>
      <c r="G38" s="14"/>
    </row>
    <row r="39" customFormat="false" ht="15" hidden="false" customHeight="false" outlineLevel="0" collapsed="false">
      <c r="A39" s="12" t="n">
        <v>27</v>
      </c>
      <c r="B39" s="12" t="s">
        <v>103</v>
      </c>
      <c r="C39" s="13" t="n">
        <v>0.01146</v>
      </c>
      <c r="D39" s="13" t="n">
        <v>0</v>
      </c>
      <c r="E39" s="14" t="n">
        <v>25.84</v>
      </c>
      <c r="F39" s="14"/>
      <c r="G39" s="14"/>
    </row>
    <row r="40" customFormat="false" ht="15" hidden="false" customHeight="false" outlineLevel="0" collapsed="false">
      <c r="A40" s="12" t="n">
        <v>28</v>
      </c>
      <c r="B40" s="12" t="s">
        <v>104</v>
      </c>
      <c r="C40" s="13" t="n">
        <v>0.03535</v>
      </c>
      <c r="D40" s="13" t="n">
        <v>0</v>
      </c>
      <c r="E40" s="14" t="n">
        <v>28.36</v>
      </c>
      <c r="F40" s="14"/>
      <c r="G40" s="14"/>
    </row>
    <row r="41" customFormat="false" ht="15" hidden="false" customHeight="false" outlineLevel="0" collapsed="false">
      <c r="A41" s="12" t="n">
        <v>29</v>
      </c>
      <c r="B41" s="12" t="s">
        <v>105</v>
      </c>
      <c r="C41" s="13" t="n">
        <v>0.10916</v>
      </c>
      <c r="D41" s="13" t="n">
        <v>0</v>
      </c>
      <c r="E41" s="14" t="n">
        <v>30.72</v>
      </c>
      <c r="F41" s="14"/>
      <c r="G41" s="14"/>
    </row>
    <row r="42" customFormat="false" ht="15" hidden="false" customHeight="false" outlineLevel="0" collapsed="false">
      <c r="A42" s="12" t="n">
        <v>30</v>
      </c>
      <c r="B42" s="12" t="s">
        <v>106</v>
      </c>
      <c r="C42" s="13" t="n">
        <v>0.15958</v>
      </c>
      <c r="D42" s="13" t="n">
        <v>0</v>
      </c>
      <c r="E42" s="14" t="n">
        <v>51.1</v>
      </c>
      <c r="F42" s="14"/>
      <c r="G42" s="14"/>
    </row>
    <row r="43" customFormat="false" ht="15" hidden="false" customHeight="false" outlineLevel="0" collapsed="false">
      <c r="A43" s="12" t="n">
        <v>31</v>
      </c>
      <c r="B43" s="12" t="s">
        <v>107</v>
      </c>
      <c r="C43" s="13" t="n">
        <v>0.20154</v>
      </c>
      <c r="D43" s="13" t="n">
        <v>0</v>
      </c>
      <c r="E43" s="14" t="n">
        <v>58.37</v>
      </c>
      <c r="F43" s="14"/>
      <c r="G43" s="14"/>
    </row>
    <row r="44" customFormat="false" ht="15" hidden="false" customHeight="false" outlineLevel="0" collapsed="false">
      <c r="A44" s="12" t="n">
        <v>32</v>
      </c>
      <c r="B44" s="12" t="s">
        <v>108</v>
      </c>
      <c r="C44" s="13" t="n">
        <v>0.19467</v>
      </c>
      <c r="D44" s="13" t="n">
        <v>0</v>
      </c>
      <c r="E44" s="14" t="n">
        <v>56.82</v>
      </c>
      <c r="F44" s="14"/>
      <c r="G44" s="14"/>
    </row>
    <row r="45" customFormat="false" ht="15" hidden="false" customHeight="false" outlineLevel="0" collapsed="false">
      <c r="A45" s="12" t="n">
        <v>33</v>
      </c>
      <c r="B45" s="12" t="s">
        <v>109</v>
      </c>
      <c r="C45" s="13" t="n">
        <v>0.27534</v>
      </c>
      <c r="D45" s="13" t="n">
        <v>0</v>
      </c>
      <c r="E45" s="14" t="n">
        <v>57.44</v>
      </c>
      <c r="F45" s="14"/>
      <c r="G45" s="14"/>
    </row>
    <row r="46" customFormat="false" ht="15" hidden="false" customHeight="false" outlineLevel="0" collapsed="false">
      <c r="A46" s="12" t="n">
        <v>34</v>
      </c>
      <c r="B46" s="12" t="s">
        <v>110</v>
      </c>
      <c r="C46" s="13" t="n">
        <v>0.37797</v>
      </c>
      <c r="D46" s="13" t="n">
        <v>0.03222</v>
      </c>
      <c r="E46" s="14" t="n">
        <v>61.09</v>
      </c>
      <c r="F46" s="14"/>
      <c r="G46" s="14"/>
    </row>
    <row r="47" customFormat="false" ht="15" hidden="false" customHeight="false" outlineLevel="0" collapsed="false">
      <c r="A47" s="12" t="n">
        <v>35</v>
      </c>
      <c r="B47" s="12" t="s">
        <v>111</v>
      </c>
      <c r="C47" s="13" t="n">
        <v>0.36697</v>
      </c>
      <c r="D47" s="13" t="n">
        <v>0.11415</v>
      </c>
      <c r="E47" s="14" t="n">
        <v>63.63</v>
      </c>
      <c r="F47" s="14"/>
      <c r="G47" s="14"/>
    </row>
    <row r="48" customFormat="false" ht="15" hidden="false" customHeight="false" outlineLevel="0" collapsed="false">
      <c r="A48" s="12" t="n">
        <v>36</v>
      </c>
      <c r="B48" s="12" t="s">
        <v>112</v>
      </c>
      <c r="C48" s="13" t="n">
        <v>0.38777</v>
      </c>
      <c r="D48" s="13" t="n">
        <v>0.19625</v>
      </c>
      <c r="E48" s="14" t="n">
        <v>62.8</v>
      </c>
      <c r="F48" s="14"/>
      <c r="G48" s="14"/>
    </row>
    <row r="49" customFormat="false" ht="15" hidden="false" customHeight="false" outlineLevel="0" collapsed="false">
      <c r="A49" s="12" t="n">
        <v>37</v>
      </c>
      <c r="B49" s="12" t="s">
        <v>113</v>
      </c>
      <c r="C49" s="13" t="n">
        <v>0.39022</v>
      </c>
      <c r="D49" s="13" t="n">
        <v>0.19159</v>
      </c>
      <c r="E49" s="14" t="n">
        <v>58.65</v>
      </c>
      <c r="F49" s="14"/>
      <c r="G49" s="14"/>
    </row>
    <row r="50" customFormat="false" ht="15" hidden="false" customHeight="false" outlineLevel="0" collapsed="false">
      <c r="A50" s="12" t="n">
        <v>38</v>
      </c>
      <c r="B50" s="12" t="s">
        <v>114</v>
      </c>
      <c r="C50" s="13" t="n">
        <v>0.35477</v>
      </c>
      <c r="D50" s="13" t="n">
        <v>0.08152</v>
      </c>
      <c r="E50" s="14" t="n">
        <v>55.64</v>
      </c>
      <c r="F50" s="14"/>
      <c r="G50" s="14"/>
    </row>
    <row r="51" customFormat="false" ht="15" hidden="false" customHeight="false" outlineLevel="0" collapsed="false">
      <c r="A51" s="12" t="n">
        <v>39</v>
      </c>
      <c r="B51" s="12" t="s">
        <v>115</v>
      </c>
      <c r="C51" s="13" t="n">
        <v>0.31976</v>
      </c>
      <c r="D51" s="13" t="n">
        <v>0.10194</v>
      </c>
      <c r="E51" s="14" t="n">
        <v>56.72</v>
      </c>
      <c r="F51" s="14"/>
      <c r="G51" s="14"/>
    </row>
    <row r="52" customFormat="false" ht="15" hidden="false" customHeight="false" outlineLevel="0" collapsed="false">
      <c r="A52" s="12" t="n">
        <v>40</v>
      </c>
      <c r="B52" s="12" t="s">
        <v>116</v>
      </c>
      <c r="C52" s="13" t="n">
        <v>0.33416</v>
      </c>
      <c r="D52" s="13" t="n">
        <v>0.09101</v>
      </c>
      <c r="E52" s="14" t="n">
        <v>62.19</v>
      </c>
      <c r="F52" s="14"/>
      <c r="G52" s="14"/>
    </row>
    <row r="53" customFormat="false" ht="15" hidden="false" customHeight="false" outlineLevel="0" collapsed="false">
      <c r="A53" s="12" t="n">
        <v>41</v>
      </c>
      <c r="B53" s="12" t="s">
        <v>117</v>
      </c>
      <c r="C53" s="13" t="n">
        <v>0.35355</v>
      </c>
      <c r="D53" s="13" t="n">
        <v>0.05717</v>
      </c>
      <c r="E53" s="14" t="n">
        <v>67.1</v>
      </c>
      <c r="F53" s="14"/>
      <c r="G53" s="14"/>
    </row>
    <row r="54" customFormat="false" ht="15" hidden="false" customHeight="false" outlineLevel="0" collapsed="false">
      <c r="A54" s="12" t="n">
        <v>42</v>
      </c>
      <c r="B54" s="12" t="s">
        <v>118</v>
      </c>
      <c r="C54" s="13" t="n">
        <v>0.29964</v>
      </c>
      <c r="D54" s="13" t="n">
        <v>0.00362</v>
      </c>
      <c r="E54" s="14" t="n">
        <v>69.3</v>
      </c>
      <c r="F54" s="14"/>
      <c r="G54" s="14"/>
    </row>
    <row r="55" customFormat="false" ht="15" hidden="false" customHeight="false" outlineLevel="0" collapsed="false">
      <c r="A55" s="12" t="n">
        <v>43</v>
      </c>
      <c r="B55" s="12" t="s">
        <v>119</v>
      </c>
      <c r="C55" s="13" t="n">
        <v>0.32815</v>
      </c>
      <c r="D55" s="13" t="n">
        <v>0</v>
      </c>
      <c r="E55" s="14" t="n">
        <v>69.25</v>
      </c>
      <c r="F55" s="14"/>
      <c r="G55" s="14"/>
    </row>
    <row r="56" customFormat="false" ht="15" hidden="false" customHeight="false" outlineLevel="0" collapsed="false">
      <c r="A56" s="12" t="n">
        <v>44</v>
      </c>
      <c r="B56" s="12" t="s">
        <v>120</v>
      </c>
      <c r="C56" s="13" t="n">
        <v>0.38409</v>
      </c>
      <c r="D56" s="13" t="n">
        <v>0</v>
      </c>
      <c r="E56" s="14" t="n">
        <v>63.43</v>
      </c>
      <c r="F56" s="14"/>
      <c r="G56" s="14"/>
    </row>
    <row r="57" customFormat="false" ht="15" hidden="false" customHeight="false" outlineLevel="0" collapsed="false">
      <c r="A57" s="12" t="n">
        <v>45</v>
      </c>
      <c r="B57" s="12" t="s">
        <v>121</v>
      </c>
      <c r="C57" s="13" t="n">
        <v>0.43775</v>
      </c>
      <c r="D57" s="13" t="n">
        <v>0</v>
      </c>
      <c r="E57" s="14" t="n">
        <v>55.64</v>
      </c>
      <c r="F57" s="14"/>
      <c r="G57" s="14"/>
    </row>
    <row r="58" customFormat="false" ht="15" hidden="false" customHeight="false" outlineLevel="0" collapsed="false">
      <c r="A58" s="12" t="n">
        <v>46</v>
      </c>
      <c r="B58" s="12" t="s">
        <v>122</v>
      </c>
      <c r="C58" s="13" t="n">
        <v>0.4665</v>
      </c>
      <c r="D58" s="13" t="n">
        <v>0</v>
      </c>
      <c r="E58" s="14" t="n">
        <v>55.97</v>
      </c>
      <c r="F58" s="14"/>
      <c r="G58" s="14"/>
    </row>
    <row r="59" customFormat="false" ht="15" hidden="false" customHeight="false" outlineLevel="0" collapsed="false">
      <c r="A59" s="12" t="n">
        <v>47</v>
      </c>
      <c r="B59" s="12" t="s">
        <v>123</v>
      </c>
      <c r="C59" s="13" t="n">
        <v>0.50717</v>
      </c>
      <c r="D59" s="13" t="n">
        <v>0</v>
      </c>
      <c r="E59" s="14" t="n">
        <v>54.31</v>
      </c>
      <c r="F59" s="14"/>
      <c r="G59" s="14"/>
    </row>
    <row r="60" customFormat="false" ht="15" hidden="false" customHeight="false" outlineLevel="0" collapsed="false">
      <c r="A60" s="12" t="n">
        <v>48</v>
      </c>
      <c r="B60" s="12" t="s">
        <v>124</v>
      </c>
      <c r="C60" s="13" t="n">
        <v>0.54369</v>
      </c>
      <c r="D60" s="13" t="n">
        <v>0</v>
      </c>
      <c r="E60" s="14" t="n">
        <v>47.03</v>
      </c>
      <c r="F60" s="14"/>
      <c r="G60" s="14"/>
    </row>
  </sheetData>
  <mergeCells count="8">
    <mergeCell ref="A3:G3"/>
    <mergeCell ref="A4:G4"/>
    <mergeCell ref="A5:G5"/>
    <mergeCell ref="A6:G6"/>
    <mergeCell ref="A7:G7"/>
    <mergeCell ref="A8:G8"/>
    <mergeCell ref="A9:G9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5" t="s">
        <v>125</v>
      </c>
    </row>
    <row r="3" customFormat="false" ht="15" hidden="false" customHeight="false" outlineLevel="0" collapsed="false">
      <c r="A3" s="11" t="s">
        <v>126</v>
      </c>
      <c r="B3" s="11" t="s">
        <v>127</v>
      </c>
      <c r="C3" s="11" t="s">
        <v>128</v>
      </c>
      <c r="D3" s="11" t="s">
        <v>129</v>
      </c>
      <c r="E3" s="11" t="s">
        <v>130</v>
      </c>
    </row>
    <row r="4" customFormat="false" ht="15" hidden="false" customHeight="false" outlineLevel="0" collapsed="false">
      <c r="A4" s="16" t="s">
        <v>131</v>
      </c>
      <c r="B4" s="17" t="n">
        <v>1</v>
      </c>
      <c r="C4" s="18" t="n">
        <f aca="false">8760*B4</f>
        <v>8760</v>
      </c>
      <c r="D4" s="18" t="n">
        <f aca="false">8784*B4</f>
        <v>8784</v>
      </c>
      <c r="E4" s="16" t="s">
        <v>132</v>
      </c>
    </row>
    <row r="5" customFormat="false" ht="15" hidden="false" customHeight="false" outlineLevel="0" collapsed="false">
      <c r="A5" s="16" t="s">
        <v>133</v>
      </c>
      <c r="B5" s="17" t="n">
        <v>2</v>
      </c>
      <c r="C5" s="18" t="n">
        <f aca="false">8760*B5</f>
        <v>17520</v>
      </c>
      <c r="D5" s="18" t="n">
        <f aca="false">8784*B5</f>
        <v>17568</v>
      </c>
      <c r="E5" s="16" t="s">
        <v>132</v>
      </c>
    </row>
    <row r="6" customFormat="false" ht="15" hidden="false" customHeight="false" outlineLevel="0" collapsed="false">
      <c r="A6" s="16" t="s">
        <v>134</v>
      </c>
      <c r="B6" s="17" t="n">
        <v>4</v>
      </c>
      <c r="C6" s="18" t="n">
        <f aca="false">8760*B6</f>
        <v>35040</v>
      </c>
      <c r="D6" s="18" t="n">
        <f aca="false">8784*B6</f>
        <v>35136</v>
      </c>
      <c r="E6" s="16" t="s">
        <v>132</v>
      </c>
    </row>
    <row r="7" customFormat="false" ht="15" hidden="false" customHeight="false" outlineLevel="0" collapsed="false">
      <c r="A7" s="16" t="s">
        <v>135</v>
      </c>
      <c r="B7" s="17" t="n">
        <v>6</v>
      </c>
      <c r="C7" s="18" t="n">
        <f aca="false">8760*B7</f>
        <v>52560</v>
      </c>
      <c r="D7" s="18" t="n">
        <f aca="false">8784*B7</f>
        <v>52704</v>
      </c>
      <c r="E7" s="16" t="s">
        <v>132</v>
      </c>
    </row>
    <row r="8" customFormat="false" ht="15" hidden="false" customHeight="false" outlineLevel="0" collapsed="false">
      <c r="A8" s="16" t="s">
        <v>136</v>
      </c>
      <c r="B8" s="17" t="n">
        <v>12</v>
      </c>
      <c r="C8" s="18" t="n">
        <f aca="false">8760*B8</f>
        <v>105120</v>
      </c>
      <c r="D8" s="18" t="n">
        <f aca="false">8784*B8</f>
        <v>105408</v>
      </c>
      <c r="E8" s="16" t="s">
        <v>132</v>
      </c>
    </row>
    <row r="10" customFormat="false" ht="15" hidden="false" customHeight="false" outlineLevel="0" collapsed="false">
      <c r="A10" s="19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42" hidden="false" customHeight="true" outlineLevel="0" collapsed="false">
      <c r="A1" s="5" t="s">
        <v>138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23.85" hidden="false" customHeight="false" outlineLevel="0" collapsed="false">
      <c r="A3" s="6" t="s">
        <v>139</v>
      </c>
      <c r="B3" s="6" t="s">
        <v>140</v>
      </c>
      <c r="C3" s="6" t="s">
        <v>141</v>
      </c>
      <c r="D3" s="6" t="s">
        <v>19</v>
      </c>
      <c r="E3" s="6" t="s">
        <v>142</v>
      </c>
      <c r="F3" s="6" t="s">
        <v>143</v>
      </c>
      <c r="G3" s="6" t="s">
        <v>144</v>
      </c>
      <c r="H3" s="6" t="s">
        <v>145</v>
      </c>
      <c r="I3" s="6" t="s">
        <v>146</v>
      </c>
      <c r="J3" s="6" t="s">
        <v>147</v>
      </c>
    </row>
    <row r="4" customFormat="false" ht="35.05" hidden="false" customHeight="false" outlineLevel="0" collapsed="false">
      <c r="A4" s="7" t="s">
        <v>148</v>
      </c>
      <c r="B4" s="7" t="s">
        <v>149</v>
      </c>
      <c r="C4" s="7" t="s">
        <v>150</v>
      </c>
      <c r="D4" s="7" t="s">
        <v>151</v>
      </c>
      <c r="E4" s="7" t="s">
        <v>152</v>
      </c>
      <c r="F4" s="7" t="s">
        <v>153</v>
      </c>
      <c r="G4" s="7"/>
      <c r="H4" s="7"/>
      <c r="I4" s="7" t="s">
        <v>154</v>
      </c>
      <c r="J4" s="7" t="s">
        <v>155</v>
      </c>
    </row>
    <row r="5" customFormat="false" ht="23.85" hidden="false" customHeight="false" outlineLevel="0" collapsed="false">
      <c r="A5" s="7" t="s">
        <v>148</v>
      </c>
      <c r="B5" s="7" t="s">
        <v>156</v>
      </c>
      <c r="C5" s="7" t="s">
        <v>157</v>
      </c>
      <c r="D5" s="7" t="s">
        <v>158</v>
      </c>
      <c r="E5" s="7" t="n">
        <v>200000</v>
      </c>
      <c r="F5" s="7"/>
      <c r="G5" s="7"/>
      <c r="H5" s="7"/>
      <c r="I5" s="7" t="s">
        <v>159</v>
      </c>
      <c r="J5" s="7" t="s">
        <v>155</v>
      </c>
    </row>
    <row r="6" customFormat="false" ht="23.85" hidden="false" customHeight="false" outlineLevel="0" collapsed="false">
      <c r="A6" s="7" t="s">
        <v>148</v>
      </c>
      <c r="B6" s="7" t="s">
        <v>160</v>
      </c>
      <c r="C6" s="7" t="s">
        <v>161</v>
      </c>
      <c r="D6" s="7" t="s">
        <v>162</v>
      </c>
      <c r="E6" s="7" t="n">
        <v>2000000</v>
      </c>
      <c r="F6" s="7"/>
      <c r="G6" s="7"/>
      <c r="H6" s="7"/>
      <c r="I6" s="7"/>
      <c r="J6" s="7" t="s">
        <v>155</v>
      </c>
    </row>
    <row r="7" customFormat="false" ht="35.05" hidden="false" customHeight="false" outlineLevel="0" collapsed="false">
      <c r="A7" s="7" t="s">
        <v>148</v>
      </c>
      <c r="B7" s="7" t="s">
        <v>163</v>
      </c>
      <c r="C7" s="7" t="s">
        <v>164</v>
      </c>
      <c r="D7" s="7" t="s">
        <v>151</v>
      </c>
      <c r="E7" s="7" t="s">
        <v>165</v>
      </c>
      <c r="F7" s="7" t="s">
        <v>166</v>
      </c>
      <c r="G7" s="7"/>
      <c r="H7" s="7"/>
      <c r="I7" s="7" t="s">
        <v>167</v>
      </c>
      <c r="J7" s="7" t="s">
        <v>155</v>
      </c>
    </row>
    <row r="8" customFormat="false" ht="23.85" hidden="false" customHeight="false" outlineLevel="0" collapsed="false">
      <c r="A8" s="7" t="s">
        <v>148</v>
      </c>
      <c r="B8" s="7" t="s">
        <v>168</v>
      </c>
      <c r="C8" s="7" t="s">
        <v>169</v>
      </c>
      <c r="D8" s="7" t="s">
        <v>151</v>
      </c>
      <c r="E8" s="7" t="s">
        <v>165</v>
      </c>
      <c r="F8" s="7" t="s">
        <v>166</v>
      </c>
      <c r="G8" s="7"/>
      <c r="H8" s="7"/>
      <c r="I8" s="7" t="s">
        <v>170</v>
      </c>
      <c r="J8" s="7" t="s">
        <v>155</v>
      </c>
    </row>
    <row r="9" customFormat="false" ht="46.25" hidden="false" customHeight="false" outlineLevel="0" collapsed="false">
      <c r="A9" s="7" t="s">
        <v>148</v>
      </c>
      <c r="B9" s="7" t="s">
        <v>171</v>
      </c>
      <c r="C9" s="7" t="s">
        <v>172</v>
      </c>
      <c r="D9" s="7" t="s">
        <v>151</v>
      </c>
      <c r="E9" s="7" t="s">
        <v>173</v>
      </c>
      <c r="F9" s="7" t="s">
        <v>174</v>
      </c>
      <c r="G9" s="7"/>
      <c r="H9" s="7"/>
      <c r="I9" s="7" t="s">
        <v>175</v>
      </c>
      <c r="J9" s="7" t="s">
        <v>155</v>
      </c>
    </row>
    <row r="10" customFormat="false" ht="23.85" hidden="false" customHeight="false" outlineLevel="0" collapsed="false">
      <c r="A10" s="7" t="s">
        <v>148</v>
      </c>
      <c r="B10" s="7" t="s">
        <v>176</v>
      </c>
      <c r="C10" s="7" t="s">
        <v>177</v>
      </c>
      <c r="D10" s="7" t="s">
        <v>44</v>
      </c>
      <c r="E10" s="7" t="n">
        <v>100</v>
      </c>
      <c r="F10" s="7"/>
      <c r="G10" s="7"/>
      <c r="H10" s="7"/>
      <c r="I10" s="7"/>
      <c r="J10" s="7" t="s">
        <v>155</v>
      </c>
    </row>
    <row r="11" customFormat="false" ht="23.85" hidden="false" customHeight="false" outlineLevel="0" collapsed="false">
      <c r="A11" s="7" t="s">
        <v>148</v>
      </c>
      <c r="B11" s="7" t="s">
        <v>178</v>
      </c>
      <c r="C11" s="7" t="s">
        <v>179</v>
      </c>
      <c r="D11" s="7" t="s">
        <v>44</v>
      </c>
      <c r="E11" s="7" t="n">
        <v>86.45</v>
      </c>
      <c r="F11" s="7"/>
      <c r="G11" s="7"/>
      <c r="H11" s="7"/>
      <c r="I11" s="7" t="s">
        <v>180</v>
      </c>
      <c r="J11" s="7" t="s">
        <v>155</v>
      </c>
    </row>
    <row r="12" customFormat="false" ht="23.85" hidden="false" customHeight="false" outlineLevel="0" collapsed="false">
      <c r="A12" s="7" t="s">
        <v>148</v>
      </c>
      <c r="B12" s="7" t="s">
        <v>181</v>
      </c>
      <c r="C12" s="7" t="s">
        <v>182</v>
      </c>
      <c r="D12" s="7" t="s">
        <v>183</v>
      </c>
      <c r="E12" s="7" t="n">
        <v>6</v>
      </c>
      <c r="F12" s="7"/>
      <c r="G12" s="7"/>
      <c r="H12" s="7"/>
      <c r="I12" s="7"/>
      <c r="J12" s="7" t="s">
        <v>155</v>
      </c>
    </row>
    <row r="13" customFormat="false" ht="35.05" hidden="false" customHeight="false" outlineLevel="0" collapsed="false">
      <c r="A13" s="7" t="s">
        <v>148</v>
      </c>
      <c r="B13" s="7" t="s">
        <v>184</v>
      </c>
      <c r="C13" s="7" t="s">
        <v>185</v>
      </c>
      <c r="D13" s="7" t="s">
        <v>151</v>
      </c>
      <c r="E13" s="7" t="s">
        <v>186</v>
      </c>
      <c r="F13" s="7"/>
      <c r="G13" s="7"/>
      <c r="H13" s="7"/>
      <c r="I13" s="7" t="s">
        <v>187</v>
      </c>
      <c r="J13" s="7" t="s">
        <v>155</v>
      </c>
    </row>
    <row r="14" customFormat="false" ht="23.85" hidden="false" customHeight="false" outlineLevel="0" collapsed="false">
      <c r="A14" s="7" t="s">
        <v>148</v>
      </c>
      <c r="B14" s="7" t="s">
        <v>188</v>
      </c>
      <c r="C14" s="7" t="s">
        <v>189</v>
      </c>
      <c r="D14" s="7" t="s">
        <v>53</v>
      </c>
      <c r="E14" s="7" t="n">
        <v>100</v>
      </c>
      <c r="F14" s="7"/>
      <c r="G14" s="7"/>
      <c r="H14" s="7"/>
      <c r="I14" s="7" t="s">
        <v>190</v>
      </c>
      <c r="J14" s="7" t="s">
        <v>155</v>
      </c>
    </row>
    <row r="15" customFormat="false" ht="35.05" hidden="false" customHeight="false" outlineLevel="0" collapsed="false">
      <c r="A15" s="7" t="s">
        <v>191</v>
      </c>
      <c r="B15" s="7" t="s">
        <v>192</v>
      </c>
      <c r="C15" s="7" t="s">
        <v>193</v>
      </c>
      <c r="D15" s="7" t="s">
        <v>151</v>
      </c>
      <c r="E15" s="7" t="s">
        <v>194</v>
      </c>
      <c r="F15" s="7"/>
      <c r="G15" s="7"/>
      <c r="H15" s="7"/>
      <c r="I15" s="7"/>
      <c r="J15" s="7" t="s">
        <v>195</v>
      </c>
    </row>
    <row r="16" customFormat="false" ht="35.05" hidden="false" customHeight="false" outlineLevel="0" collapsed="false">
      <c r="A16" s="7" t="s">
        <v>191</v>
      </c>
      <c r="B16" s="7" t="s">
        <v>196</v>
      </c>
      <c r="C16" s="7" t="s">
        <v>197</v>
      </c>
      <c r="D16" s="7" t="s">
        <v>198</v>
      </c>
      <c r="E16" s="7" t="n">
        <v>47.38</v>
      </c>
      <c r="F16" s="7"/>
      <c r="G16" s="7"/>
      <c r="H16" s="7"/>
      <c r="I16" s="7"/>
      <c r="J16" s="7" t="s">
        <v>195</v>
      </c>
    </row>
    <row r="17" customFormat="false" ht="35.05" hidden="false" customHeight="false" outlineLevel="0" collapsed="false">
      <c r="A17" s="7" t="s">
        <v>191</v>
      </c>
      <c r="B17" s="7" t="s">
        <v>199</v>
      </c>
      <c r="C17" s="7" t="s">
        <v>200</v>
      </c>
      <c r="D17" s="7" t="s">
        <v>198</v>
      </c>
      <c r="E17" s="7" t="n">
        <v>-3.55</v>
      </c>
      <c r="F17" s="7"/>
      <c r="G17" s="7"/>
      <c r="H17" s="7"/>
      <c r="I17" s="7"/>
      <c r="J17" s="7" t="s">
        <v>195</v>
      </c>
    </row>
    <row r="18" customFormat="false" ht="35.05" hidden="false" customHeight="false" outlineLevel="0" collapsed="false">
      <c r="A18" s="7" t="s">
        <v>191</v>
      </c>
      <c r="B18" s="7" t="s">
        <v>201</v>
      </c>
      <c r="C18" s="7" t="s">
        <v>202</v>
      </c>
      <c r="D18" s="7" t="s">
        <v>151</v>
      </c>
      <c r="E18" s="7" t="s">
        <v>203</v>
      </c>
      <c r="F18" s="7"/>
      <c r="G18" s="7"/>
      <c r="H18" s="7"/>
      <c r="I18" s="7"/>
      <c r="J18" s="7" t="s">
        <v>195</v>
      </c>
    </row>
    <row r="19" customFormat="false" ht="35.05" hidden="false" customHeight="false" outlineLevel="0" collapsed="false">
      <c r="A19" s="7" t="s">
        <v>191</v>
      </c>
      <c r="B19" s="7" t="s">
        <v>204</v>
      </c>
      <c r="C19" s="7" t="s">
        <v>205</v>
      </c>
      <c r="D19" s="7" t="s">
        <v>198</v>
      </c>
      <c r="E19" s="7" t="n">
        <v>47.64</v>
      </c>
      <c r="F19" s="7"/>
      <c r="G19" s="7"/>
      <c r="H19" s="7"/>
      <c r="I19" s="7"/>
      <c r="J19" s="7" t="s">
        <v>195</v>
      </c>
    </row>
    <row r="20" customFormat="false" ht="35.05" hidden="false" customHeight="false" outlineLevel="0" collapsed="false">
      <c r="A20" s="7" t="s">
        <v>191</v>
      </c>
      <c r="B20" s="7" t="s">
        <v>206</v>
      </c>
      <c r="C20" s="7" t="s">
        <v>207</v>
      </c>
      <c r="D20" s="7" t="s">
        <v>198</v>
      </c>
      <c r="E20" s="7" t="n">
        <v>-3.16</v>
      </c>
      <c r="F20" s="7"/>
      <c r="G20" s="7"/>
      <c r="H20" s="7"/>
      <c r="I20" s="7"/>
      <c r="J20" s="7" t="s">
        <v>195</v>
      </c>
    </row>
    <row r="21" customFormat="false" ht="35.05" hidden="false" customHeight="false" outlineLevel="0" collapsed="false">
      <c r="A21" s="7" t="s">
        <v>191</v>
      </c>
      <c r="B21" s="7" t="s">
        <v>208</v>
      </c>
      <c r="C21" s="7" t="s">
        <v>209</v>
      </c>
      <c r="D21" s="7" t="s">
        <v>151</v>
      </c>
      <c r="E21" s="7" t="s">
        <v>210</v>
      </c>
      <c r="F21" s="7"/>
      <c r="G21" s="7"/>
      <c r="H21" s="7"/>
      <c r="I21" s="7"/>
      <c r="J21" s="7" t="s">
        <v>195</v>
      </c>
    </row>
    <row r="22" customFormat="false" ht="35.05" hidden="false" customHeight="false" outlineLevel="0" collapsed="false">
      <c r="A22" s="7" t="s">
        <v>191</v>
      </c>
      <c r="B22" s="7" t="s">
        <v>211</v>
      </c>
      <c r="C22" s="7" t="s">
        <v>212</v>
      </c>
      <c r="D22" s="7" t="s">
        <v>198</v>
      </c>
      <c r="E22" s="7" t="n">
        <v>47.27</v>
      </c>
      <c r="F22" s="7"/>
      <c r="G22" s="7"/>
      <c r="H22" s="7"/>
      <c r="I22" s="7"/>
      <c r="J22" s="7" t="s">
        <v>195</v>
      </c>
    </row>
    <row r="23" customFormat="false" ht="35.05" hidden="false" customHeight="false" outlineLevel="0" collapsed="false">
      <c r="A23" s="7" t="s">
        <v>191</v>
      </c>
      <c r="B23" s="7" t="s">
        <v>213</v>
      </c>
      <c r="C23" s="7" t="s">
        <v>214</v>
      </c>
      <c r="D23" s="7" t="s">
        <v>198</v>
      </c>
      <c r="E23" s="7" t="n">
        <v>-2.2</v>
      </c>
      <c r="F23" s="7"/>
      <c r="G23" s="7"/>
      <c r="H23" s="7"/>
      <c r="I23" s="7"/>
      <c r="J23" s="7" t="s">
        <v>195</v>
      </c>
    </row>
    <row r="24" customFormat="false" ht="57.45" hidden="false" customHeight="false" outlineLevel="0" collapsed="false">
      <c r="A24" s="7" t="s">
        <v>191</v>
      </c>
      <c r="B24" s="7" t="s">
        <v>215</v>
      </c>
      <c r="C24" s="7" t="s">
        <v>216</v>
      </c>
      <c r="D24" s="7" t="s">
        <v>151</v>
      </c>
      <c r="E24" s="7" t="s">
        <v>217</v>
      </c>
      <c r="F24" s="7" t="s">
        <v>218</v>
      </c>
      <c r="G24" s="7"/>
      <c r="H24" s="7"/>
      <c r="I24" s="7" t="s">
        <v>219</v>
      </c>
      <c r="J24" s="7" t="s">
        <v>195</v>
      </c>
    </row>
    <row r="25" customFormat="false" ht="35.05" hidden="false" customHeight="false" outlineLevel="0" collapsed="false">
      <c r="A25" s="7" t="s">
        <v>191</v>
      </c>
      <c r="B25" s="7" t="s">
        <v>220</v>
      </c>
      <c r="C25" s="7" t="s">
        <v>221</v>
      </c>
      <c r="D25" s="7" t="s">
        <v>151</v>
      </c>
      <c r="E25" s="7" t="n">
        <v>1.2</v>
      </c>
      <c r="F25" s="7"/>
      <c r="G25" s="7"/>
      <c r="H25" s="7"/>
      <c r="I25" s="7" t="s">
        <v>222</v>
      </c>
      <c r="J25" s="7" t="s">
        <v>195</v>
      </c>
    </row>
    <row r="26" customFormat="false" ht="35.05" hidden="false" customHeight="false" outlineLevel="0" collapsed="false">
      <c r="A26" s="7" t="s">
        <v>191</v>
      </c>
      <c r="B26" s="7" t="s">
        <v>223</v>
      </c>
      <c r="C26" s="7" t="s">
        <v>224</v>
      </c>
      <c r="D26" s="7" t="s">
        <v>225</v>
      </c>
      <c r="E26" s="7" t="n">
        <v>0</v>
      </c>
      <c r="F26" s="7"/>
      <c r="G26" s="7"/>
      <c r="H26" s="7"/>
      <c r="I26" s="7" t="s">
        <v>226</v>
      </c>
      <c r="J26" s="7" t="s">
        <v>195</v>
      </c>
    </row>
    <row r="27" customFormat="false" ht="35.05" hidden="false" customHeight="false" outlineLevel="0" collapsed="false">
      <c r="A27" s="7" t="s">
        <v>191</v>
      </c>
      <c r="B27" s="7" t="s">
        <v>227</v>
      </c>
      <c r="C27" s="7" t="s">
        <v>228</v>
      </c>
      <c r="D27" s="7" t="s">
        <v>225</v>
      </c>
      <c r="E27" s="7" t="n">
        <v>0</v>
      </c>
      <c r="F27" s="7"/>
      <c r="G27" s="7"/>
      <c r="H27" s="7"/>
      <c r="I27" s="7" t="s">
        <v>229</v>
      </c>
      <c r="J27" s="7" t="s">
        <v>195</v>
      </c>
    </row>
    <row r="28" customFormat="false" ht="35.05" hidden="false" customHeight="false" outlineLevel="0" collapsed="false">
      <c r="A28" s="7" t="s">
        <v>191</v>
      </c>
      <c r="B28" s="7" t="s">
        <v>230</v>
      </c>
      <c r="C28" s="7" t="s">
        <v>231</v>
      </c>
      <c r="D28" s="7" t="s">
        <v>232</v>
      </c>
      <c r="E28" s="7" t="n">
        <v>75</v>
      </c>
      <c r="F28" s="7"/>
      <c r="G28" s="7"/>
      <c r="H28" s="7"/>
      <c r="I28" s="7" t="s">
        <v>233</v>
      </c>
      <c r="J28" s="7" t="s">
        <v>195</v>
      </c>
    </row>
    <row r="29" customFormat="false" ht="35.05" hidden="false" customHeight="false" outlineLevel="0" collapsed="false">
      <c r="A29" s="7" t="s">
        <v>191</v>
      </c>
      <c r="B29" s="7" t="s">
        <v>234</v>
      </c>
      <c r="C29" s="7" t="s">
        <v>235</v>
      </c>
      <c r="D29" s="7" t="s">
        <v>232</v>
      </c>
      <c r="E29" s="7" t="n">
        <v>60</v>
      </c>
      <c r="F29" s="7"/>
      <c r="G29" s="7"/>
      <c r="H29" s="7" t="s">
        <v>236</v>
      </c>
      <c r="I29" s="7"/>
      <c r="J29" s="7" t="s">
        <v>195</v>
      </c>
    </row>
    <row r="30" customFormat="false" ht="35.05" hidden="false" customHeight="false" outlineLevel="0" collapsed="false">
      <c r="A30" s="7" t="s">
        <v>191</v>
      </c>
      <c r="B30" s="7" t="s">
        <v>237</v>
      </c>
      <c r="C30" s="7" t="s">
        <v>238</v>
      </c>
      <c r="D30" s="7" t="s">
        <v>151</v>
      </c>
      <c r="E30" s="7" t="s">
        <v>186</v>
      </c>
      <c r="F30" s="7"/>
      <c r="G30" s="7"/>
      <c r="H30" s="7"/>
      <c r="I30" s="7" t="s">
        <v>239</v>
      </c>
      <c r="J30" s="7" t="s">
        <v>195</v>
      </c>
    </row>
    <row r="31" customFormat="false" ht="35.05" hidden="false" customHeight="false" outlineLevel="0" collapsed="false">
      <c r="A31" s="7" t="s">
        <v>191</v>
      </c>
      <c r="B31" s="7" t="s">
        <v>240</v>
      </c>
      <c r="C31" s="7" t="s">
        <v>241</v>
      </c>
      <c r="D31" s="7" t="s">
        <v>151</v>
      </c>
      <c r="E31" s="7" t="s">
        <v>186</v>
      </c>
      <c r="F31" s="7"/>
      <c r="G31" s="7"/>
      <c r="H31" s="7"/>
      <c r="I31" s="7"/>
      <c r="J31" s="7" t="s">
        <v>195</v>
      </c>
    </row>
    <row r="32" customFormat="false" ht="35.05" hidden="false" customHeight="false" outlineLevel="0" collapsed="false">
      <c r="A32" s="7" t="s">
        <v>191</v>
      </c>
      <c r="B32" s="7" t="s">
        <v>242</v>
      </c>
      <c r="C32" s="7" t="s">
        <v>243</v>
      </c>
      <c r="D32" s="7" t="s">
        <v>244</v>
      </c>
      <c r="E32" s="7" t="n">
        <v>38</v>
      </c>
      <c r="F32" s="7"/>
      <c r="G32" s="7"/>
      <c r="H32" s="7"/>
      <c r="I32" s="7" t="s">
        <v>245</v>
      </c>
      <c r="J32" s="7" t="s">
        <v>195</v>
      </c>
    </row>
    <row r="33" customFormat="false" ht="35.05" hidden="false" customHeight="false" outlineLevel="0" collapsed="false">
      <c r="A33" s="7" t="s">
        <v>191</v>
      </c>
      <c r="B33" s="7" t="s">
        <v>246</v>
      </c>
      <c r="C33" s="7" t="s">
        <v>247</v>
      </c>
      <c r="D33" s="7" t="s">
        <v>248</v>
      </c>
      <c r="E33" s="7" t="n">
        <v>6.3</v>
      </c>
      <c r="F33" s="7"/>
      <c r="G33" s="7"/>
      <c r="H33" s="7"/>
      <c r="I33" s="7" t="s">
        <v>249</v>
      </c>
      <c r="J33" s="7" t="s">
        <v>195</v>
      </c>
    </row>
    <row r="34" customFormat="false" ht="35.05" hidden="false" customHeight="false" outlineLevel="0" collapsed="false">
      <c r="A34" s="7" t="s">
        <v>191</v>
      </c>
      <c r="B34" s="7" t="s">
        <v>250</v>
      </c>
      <c r="C34" s="7" t="s">
        <v>251</v>
      </c>
      <c r="D34" s="7" t="s">
        <v>248</v>
      </c>
      <c r="E34" s="7" t="n">
        <v>60</v>
      </c>
      <c r="F34" s="7"/>
      <c r="G34" s="7" t="s">
        <v>132</v>
      </c>
      <c r="H34" s="7"/>
      <c r="I34" s="7"/>
      <c r="J34" s="7" t="s">
        <v>195</v>
      </c>
    </row>
    <row r="35" customFormat="false" ht="35.05" hidden="false" customHeight="false" outlineLevel="0" collapsed="false">
      <c r="A35" s="7" t="s">
        <v>191</v>
      </c>
      <c r="B35" s="7" t="s">
        <v>252</v>
      </c>
      <c r="C35" s="7" t="s">
        <v>253</v>
      </c>
      <c r="D35" s="7" t="s">
        <v>254</v>
      </c>
      <c r="E35" s="7" t="n">
        <v>200000</v>
      </c>
      <c r="F35" s="7"/>
      <c r="G35" s="7"/>
      <c r="H35" s="7"/>
      <c r="I35" s="7" t="s">
        <v>255</v>
      </c>
      <c r="J35" s="7" t="s">
        <v>195</v>
      </c>
    </row>
    <row r="36" customFormat="false" ht="35.05" hidden="false" customHeight="false" outlineLevel="0" collapsed="false">
      <c r="A36" s="7" t="s">
        <v>191</v>
      </c>
      <c r="B36" s="7" t="s">
        <v>256</v>
      </c>
      <c r="C36" s="7" t="s">
        <v>257</v>
      </c>
      <c r="D36" s="7" t="s">
        <v>254</v>
      </c>
      <c r="E36" s="7" t="n">
        <v>1000000</v>
      </c>
      <c r="F36" s="7"/>
      <c r="G36" s="7"/>
      <c r="H36" s="7"/>
      <c r="I36" s="7"/>
      <c r="J36" s="7" t="s">
        <v>195</v>
      </c>
    </row>
    <row r="37" customFormat="false" ht="46.25" hidden="false" customHeight="false" outlineLevel="0" collapsed="false">
      <c r="A37" s="7" t="s">
        <v>258</v>
      </c>
      <c r="B37" s="7" t="s">
        <v>259</v>
      </c>
      <c r="C37" s="7" t="s">
        <v>260</v>
      </c>
      <c r="D37" s="7" t="s">
        <v>151</v>
      </c>
      <c r="E37" s="7" t="s">
        <v>261</v>
      </c>
      <c r="F37" s="7" t="s">
        <v>262</v>
      </c>
      <c r="G37" s="7"/>
      <c r="H37" s="7"/>
      <c r="I37" s="7" t="s">
        <v>263</v>
      </c>
      <c r="J37" s="7" t="s">
        <v>264</v>
      </c>
    </row>
    <row r="38" customFormat="false" ht="46.25" hidden="false" customHeight="false" outlineLevel="0" collapsed="false">
      <c r="A38" s="7" t="s">
        <v>258</v>
      </c>
      <c r="B38" s="7" t="s">
        <v>265</v>
      </c>
      <c r="C38" s="7" t="s">
        <v>266</v>
      </c>
      <c r="D38" s="7" t="s">
        <v>151</v>
      </c>
      <c r="E38" s="7" t="s">
        <v>267</v>
      </c>
      <c r="F38" s="7"/>
      <c r="G38" s="7"/>
      <c r="H38" s="7"/>
      <c r="I38" s="7"/>
      <c r="J38" s="7" t="s">
        <v>264</v>
      </c>
    </row>
    <row r="39" customFormat="false" ht="46.25" hidden="false" customHeight="false" outlineLevel="0" collapsed="false">
      <c r="A39" s="7" t="s">
        <v>258</v>
      </c>
      <c r="B39" s="7" t="s">
        <v>268</v>
      </c>
      <c r="C39" s="7" t="s">
        <v>269</v>
      </c>
      <c r="D39" s="7" t="s">
        <v>198</v>
      </c>
      <c r="E39" s="7" t="n">
        <v>47.42</v>
      </c>
      <c r="F39" s="7"/>
      <c r="G39" s="7"/>
      <c r="H39" s="7"/>
      <c r="I39" s="7"/>
      <c r="J39" s="7" t="s">
        <v>264</v>
      </c>
    </row>
    <row r="40" customFormat="false" ht="46.25" hidden="false" customHeight="false" outlineLevel="0" collapsed="false">
      <c r="A40" s="7" t="s">
        <v>258</v>
      </c>
      <c r="B40" s="7" t="s">
        <v>270</v>
      </c>
      <c r="C40" s="7" t="s">
        <v>271</v>
      </c>
      <c r="D40" s="7" t="s">
        <v>198</v>
      </c>
      <c r="E40" s="7" t="n">
        <v>-3.45</v>
      </c>
      <c r="F40" s="7"/>
      <c r="G40" s="7"/>
      <c r="H40" s="7"/>
      <c r="I40" s="7"/>
      <c r="J40" s="7" t="s">
        <v>264</v>
      </c>
    </row>
    <row r="41" customFormat="false" ht="46.25" hidden="false" customHeight="false" outlineLevel="0" collapsed="false">
      <c r="A41" s="7" t="s">
        <v>258</v>
      </c>
      <c r="B41" s="7" t="s">
        <v>272</v>
      </c>
      <c r="C41" s="7" t="s">
        <v>273</v>
      </c>
      <c r="D41" s="7" t="s">
        <v>53</v>
      </c>
      <c r="E41" s="7" t="n">
        <v>100</v>
      </c>
      <c r="F41" s="7"/>
      <c r="G41" s="7"/>
      <c r="H41" s="7"/>
      <c r="I41" s="7" t="s">
        <v>274</v>
      </c>
      <c r="J41" s="7" t="s">
        <v>264</v>
      </c>
    </row>
    <row r="42" customFormat="false" ht="46.25" hidden="false" customHeight="false" outlineLevel="0" collapsed="false">
      <c r="A42" s="7" t="s">
        <v>258</v>
      </c>
      <c r="B42" s="7" t="s">
        <v>275</v>
      </c>
      <c r="C42" s="7" t="s">
        <v>276</v>
      </c>
      <c r="D42" s="7" t="s">
        <v>277</v>
      </c>
      <c r="E42" s="7" t="n">
        <v>225</v>
      </c>
      <c r="F42" s="7"/>
      <c r="G42" s="7"/>
      <c r="H42" s="7"/>
      <c r="I42" s="7" t="s">
        <v>278</v>
      </c>
      <c r="J42" s="7" t="s">
        <v>264</v>
      </c>
    </row>
    <row r="43" customFormat="false" ht="46.25" hidden="false" customHeight="false" outlineLevel="0" collapsed="false">
      <c r="A43" s="7" t="s">
        <v>258</v>
      </c>
      <c r="B43" s="7" t="s">
        <v>279</v>
      </c>
      <c r="C43" s="7" t="s">
        <v>280</v>
      </c>
      <c r="D43" s="7" t="s">
        <v>281</v>
      </c>
      <c r="E43" s="7" t="n">
        <v>42000</v>
      </c>
      <c r="F43" s="7"/>
      <c r="G43" s="7" t="s">
        <v>132</v>
      </c>
      <c r="H43" s="7"/>
      <c r="I43" s="7" t="s">
        <v>282</v>
      </c>
      <c r="J43" s="7" t="s">
        <v>264</v>
      </c>
    </row>
    <row r="44" customFormat="false" ht="46.25" hidden="false" customHeight="false" outlineLevel="0" collapsed="false">
      <c r="A44" s="7" t="s">
        <v>258</v>
      </c>
      <c r="B44" s="7" t="s">
        <v>283</v>
      </c>
      <c r="C44" s="7" t="s">
        <v>284</v>
      </c>
      <c r="D44" s="7" t="s">
        <v>151</v>
      </c>
      <c r="E44" s="7" t="s">
        <v>285</v>
      </c>
      <c r="F44" s="7" t="s">
        <v>286</v>
      </c>
      <c r="G44" s="7"/>
      <c r="H44" s="7"/>
      <c r="I44" s="7" t="s">
        <v>287</v>
      </c>
      <c r="J44" s="7" t="s">
        <v>264</v>
      </c>
    </row>
    <row r="45" customFormat="false" ht="46.25" hidden="false" customHeight="false" outlineLevel="0" collapsed="false">
      <c r="A45" s="7" t="s">
        <v>258</v>
      </c>
      <c r="B45" s="7" t="s">
        <v>288</v>
      </c>
      <c r="C45" s="7" t="s">
        <v>289</v>
      </c>
      <c r="D45" s="7" t="s">
        <v>53</v>
      </c>
      <c r="E45" s="7" t="n">
        <v>100</v>
      </c>
      <c r="F45" s="7"/>
      <c r="G45" s="7" t="s">
        <v>132</v>
      </c>
      <c r="H45" s="7" t="s">
        <v>236</v>
      </c>
      <c r="I45" s="7"/>
      <c r="J45" s="7" t="s">
        <v>264</v>
      </c>
    </row>
    <row r="46" customFormat="false" ht="46.25" hidden="false" customHeight="false" outlineLevel="0" collapsed="false">
      <c r="A46" s="7" t="s">
        <v>258</v>
      </c>
      <c r="B46" s="7" t="s">
        <v>290</v>
      </c>
      <c r="C46" s="7" t="s">
        <v>291</v>
      </c>
      <c r="D46" s="7" t="s">
        <v>53</v>
      </c>
      <c r="E46" s="7" t="n">
        <v>180</v>
      </c>
      <c r="F46" s="7"/>
      <c r="G46" s="7" t="s">
        <v>132</v>
      </c>
      <c r="H46" s="7" t="s">
        <v>236</v>
      </c>
      <c r="I46" s="7"/>
      <c r="J46" s="7" t="s">
        <v>264</v>
      </c>
    </row>
    <row r="47" customFormat="false" ht="46.25" hidden="false" customHeight="false" outlineLevel="0" collapsed="false">
      <c r="A47" s="7" t="s">
        <v>258</v>
      </c>
      <c r="B47" s="7" t="s">
        <v>292</v>
      </c>
      <c r="C47" s="7" t="s">
        <v>293</v>
      </c>
      <c r="D47" s="7" t="s">
        <v>53</v>
      </c>
      <c r="E47" s="7" t="n">
        <v>300</v>
      </c>
      <c r="F47" s="7"/>
      <c r="G47" s="7" t="s">
        <v>132</v>
      </c>
      <c r="H47" s="7" t="s">
        <v>236</v>
      </c>
      <c r="I47" s="7" t="s">
        <v>294</v>
      </c>
      <c r="J47" s="7" t="s">
        <v>264</v>
      </c>
    </row>
    <row r="48" customFormat="false" ht="46.25" hidden="false" customHeight="false" outlineLevel="0" collapsed="false">
      <c r="A48" s="7" t="s">
        <v>258</v>
      </c>
      <c r="B48" s="7" t="s">
        <v>295</v>
      </c>
      <c r="C48" s="7" t="s">
        <v>296</v>
      </c>
      <c r="D48" s="7" t="s">
        <v>53</v>
      </c>
      <c r="E48" s="7" t="n">
        <v>450</v>
      </c>
      <c r="F48" s="7"/>
      <c r="G48" s="7" t="s">
        <v>132</v>
      </c>
      <c r="H48" s="7" t="s">
        <v>236</v>
      </c>
      <c r="I48" s="7"/>
      <c r="J48" s="7" t="s">
        <v>264</v>
      </c>
    </row>
    <row r="49" customFormat="false" ht="46.25" hidden="false" customHeight="false" outlineLevel="0" collapsed="false">
      <c r="A49" s="7" t="s">
        <v>258</v>
      </c>
      <c r="B49" s="7" t="s">
        <v>297</v>
      </c>
      <c r="C49" s="7" t="s">
        <v>298</v>
      </c>
      <c r="D49" s="7" t="s">
        <v>53</v>
      </c>
      <c r="E49" s="7" t="n">
        <v>1000</v>
      </c>
      <c r="F49" s="7"/>
      <c r="G49" s="7" t="s">
        <v>132</v>
      </c>
      <c r="H49" s="7" t="s">
        <v>236</v>
      </c>
      <c r="I49" s="7"/>
      <c r="J49" s="7" t="s">
        <v>264</v>
      </c>
    </row>
    <row r="50" customFormat="false" ht="46.25" hidden="false" customHeight="false" outlineLevel="0" collapsed="false">
      <c r="A50" s="7" t="s">
        <v>258</v>
      </c>
      <c r="B50" s="7" t="s">
        <v>299</v>
      </c>
      <c r="C50" s="7" t="s">
        <v>300</v>
      </c>
      <c r="D50" s="7" t="s">
        <v>53</v>
      </c>
      <c r="E50" s="7" t="n">
        <v>2000</v>
      </c>
      <c r="F50" s="7"/>
      <c r="G50" s="7" t="s">
        <v>132</v>
      </c>
      <c r="H50" s="7" t="s">
        <v>236</v>
      </c>
      <c r="I50" s="7"/>
      <c r="J50" s="7" t="s">
        <v>264</v>
      </c>
    </row>
    <row r="51" customFormat="false" ht="46.25" hidden="false" customHeight="false" outlineLevel="0" collapsed="false">
      <c r="A51" s="7" t="s">
        <v>258</v>
      </c>
      <c r="B51" s="7" t="s">
        <v>301</v>
      </c>
      <c r="C51" s="7" t="s">
        <v>302</v>
      </c>
      <c r="D51" s="7" t="s">
        <v>151</v>
      </c>
      <c r="E51" s="7" t="s">
        <v>261</v>
      </c>
      <c r="F51" s="7" t="s">
        <v>303</v>
      </c>
      <c r="G51" s="7"/>
      <c r="H51" s="7"/>
      <c r="I51" s="7" t="s">
        <v>304</v>
      </c>
      <c r="J51" s="7" t="s">
        <v>264</v>
      </c>
    </row>
    <row r="52" customFormat="false" ht="46.25" hidden="false" customHeight="false" outlineLevel="0" collapsed="false">
      <c r="A52" s="7" t="s">
        <v>258</v>
      </c>
      <c r="B52" s="7" t="s">
        <v>305</v>
      </c>
      <c r="C52" s="7" t="s">
        <v>306</v>
      </c>
      <c r="D52" s="7" t="s">
        <v>151</v>
      </c>
      <c r="E52" s="7" t="s">
        <v>307</v>
      </c>
      <c r="F52" s="7"/>
      <c r="G52" s="7"/>
      <c r="H52" s="7"/>
      <c r="I52" s="7"/>
      <c r="J52" s="7" t="s">
        <v>264</v>
      </c>
    </row>
    <row r="53" customFormat="false" ht="46.25" hidden="false" customHeight="false" outlineLevel="0" collapsed="false">
      <c r="A53" s="7" t="s">
        <v>258</v>
      </c>
      <c r="B53" s="7" t="s">
        <v>308</v>
      </c>
      <c r="C53" s="7" t="s">
        <v>309</v>
      </c>
      <c r="D53" s="7" t="s">
        <v>198</v>
      </c>
      <c r="E53" s="7" t="n">
        <v>47.45</v>
      </c>
      <c r="F53" s="7"/>
      <c r="G53" s="7"/>
      <c r="H53" s="7"/>
      <c r="I53" s="7"/>
      <c r="J53" s="7" t="s">
        <v>264</v>
      </c>
    </row>
    <row r="54" customFormat="false" ht="46.25" hidden="false" customHeight="false" outlineLevel="0" collapsed="false">
      <c r="A54" s="7" t="s">
        <v>258</v>
      </c>
      <c r="B54" s="7" t="s">
        <v>310</v>
      </c>
      <c r="C54" s="7" t="s">
        <v>311</v>
      </c>
      <c r="D54" s="7" t="s">
        <v>198</v>
      </c>
      <c r="E54" s="7" t="n">
        <v>-3.3</v>
      </c>
      <c r="F54" s="7"/>
      <c r="G54" s="7"/>
      <c r="H54" s="7"/>
      <c r="I54" s="7"/>
      <c r="J54" s="7" t="s">
        <v>264</v>
      </c>
    </row>
    <row r="55" customFormat="false" ht="46.25" hidden="false" customHeight="false" outlineLevel="0" collapsed="false">
      <c r="A55" s="7" t="s">
        <v>258</v>
      </c>
      <c r="B55" s="7" t="s">
        <v>312</v>
      </c>
      <c r="C55" s="7" t="s">
        <v>313</v>
      </c>
      <c r="D55" s="7" t="s">
        <v>61</v>
      </c>
      <c r="E55" s="7" t="n">
        <v>20000</v>
      </c>
      <c r="F55" s="7"/>
      <c r="G55" s="7"/>
      <c r="H55" s="7"/>
      <c r="I55" s="7"/>
      <c r="J55" s="7" t="s">
        <v>264</v>
      </c>
    </row>
    <row r="56" customFormat="false" ht="46.25" hidden="false" customHeight="false" outlineLevel="0" collapsed="false">
      <c r="A56" s="7" t="s">
        <v>258</v>
      </c>
      <c r="B56" s="7" t="s">
        <v>314</v>
      </c>
      <c r="C56" s="7" t="s">
        <v>315</v>
      </c>
      <c r="D56" s="7" t="s">
        <v>316</v>
      </c>
      <c r="E56" s="7" t="n">
        <v>70</v>
      </c>
      <c r="F56" s="7"/>
      <c r="G56" s="7"/>
      <c r="H56" s="7"/>
      <c r="I56" s="7" t="s">
        <v>317</v>
      </c>
      <c r="J56" s="7" t="s">
        <v>264</v>
      </c>
    </row>
    <row r="57" customFormat="false" ht="46.25" hidden="false" customHeight="false" outlineLevel="0" collapsed="false">
      <c r="A57" s="7" t="s">
        <v>258</v>
      </c>
      <c r="B57" s="7" t="s">
        <v>318</v>
      </c>
      <c r="C57" s="7" t="s">
        <v>319</v>
      </c>
      <c r="D57" s="7" t="s">
        <v>320</v>
      </c>
      <c r="E57" s="7" t="n">
        <v>5000000</v>
      </c>
      <c r="F57" s="7"/>
      <c r="G57" s="7" t="s">
        <v>132</v>
      </c>
      <c r="H57" s="7"/>
      <c r="I57" s="7"/>
      <c r="J57" s="7" t="s">
        <v>264</v>
      </c>
    </row>
    <row r="58" customFormat="false" ht="15" hidden="false" customHeight="false" outlineLevel="0" collapsed="false">
      <c r="A58" s="7" t="s">
        <v>321</v>
      </c>
      <c r="B58" s="7" t="s">
        <v>322</v>
      </c>
      <c r="C58" s="7" t="s">
        <v>323</v>
      </c>
      <c r="D58" s="7" t="s">
        <v>151</v>
      </c>
      <c r="E58" s="7" t="s">
        <v>324</v>
      </c>
      <c r="F58" s="7"/>
      <c r="G58" s="7"/>
      <c r="H58" s="7"/>
      <c r="I58" s="7"/>
      <c r="J58" s="7" t="s">
        <v>325</v>
      </c>
    </row>
    <row r="59" customFormat="false" ht="15" hidden="false" customHeight="false" outlineLevel="0" collapsed="false">
      <c r="A59" s="7" t="s">
        <v>321</v>
      </c>
      <c r="B59" s="7" t="s">
        <v>326</v>
      </c>
      <c r="C59" s="7" t="s">
        <v>327</v>
      </c>
      <c r="D59" s="7" t="s">
        <v>151</v>
      </c>
      <c r="E59" s="7" t="s">
        <v>324</v>
      </c>
      <c r="F59" s="7"/>
      <c r="G59" s="7"/>
      <c r="H59" s="7"/>
      <c r="I59" s="7"/>
      <c r="J59" s="7" t="s">
        <v>325</v>
      </c>
    </row>
    <row r="60" customFormat="false" ht="15" hidden="false" customHeight="false" outlineLevel="0" collapsed="false">
      <c r="A60" s="7" t="s">
        <v>321</v>
      </c>
      <c r="B60" s="7" t="s">
        <v>328</v>
      </c>
      <c r="C60" s="7" t="s">
        <v>329</v>
      </c>
      <c r="D60" s="7" t="s">
        <v>151</v>
      </c>
      <c r="E60" s="7" t="s">
        <v>324</v>
      </c>
      <c r="F60" s="7"/>
      <c r="G60" s="7"/>
      <c r="H60" s="7"/>
      <c r="I60" s="7"/>
      <c r="J60" s="7" t="s">
        <v>325</v>
      </c>
    </row>
    <row r="61" customFormat="false" ht="15" hidden="false" customHeight="false" outlineLevel="0" collapsed="false">
      <c r="A61" s="7" t="s">
        <v>321</v>
      </c>
      <c r="B61" s="7" t="s">
        <v>330</v>
      </c>
      <c r="C61" s="7" t="s">
        <v>331</v>
      </c>
      <c r="D61" s="7" t="s">
        <v>151</v>
      </c>
      <c r="E61" s="7" t="s">
        <v>324</v>
      </c>
      <c r="F61" s="7"/>
      <c r="G61" s="7"/>
      <c r="H61" s="7"/>
      <c r="I61" s="7"/>
      <c r="J61" s="7" t="s">
        <v>325</v>
      </c>
    </row>
    <row r="62" customFormat="false" ht="15" hidden="false" customHeight="false" outlineLevel="0" collapsed="false">
      <c r="A62" s="7" t="s">
        <v>321</v>
      </c>
      <c r="B62" s="7" t="s">
        <v>332</v>
      </c>
      <c r="C62" s="7" t="s">
        <v>333</v>
      </c>
      <c r="D62" s="7" t="s">
        <v>151</v>
      </c>
      <c r="E62" s="7" t="s">
        <v>324</v>
      </c>
      <c r="F62" s="7"/>
      <c r="G62" s="7"/>
      <c r="H62" s="7"/>
      <c r="I62" s="7"/>
      <c r="J62" s="7" t="s">
        <v>325</v>
      </c>
    </row>
    <row r="63" customFormat="false" ht="15" hidden="false" customHeight="false" outlineLevel="0" collapsed="false">
      <c r="A63" s="7" t="s">
        <v>321</v>
      </c>
      <c r="B63" s="7" t="s">
        <v>334</v>
      </c>
      <c r="C63" s="7" t="s">
        <v>335</v>
      </c>
      <c r="D63" s="7" t="s">
        <v>151</v>
      </c>
      <c r="E63" s="7" t="s">
        <v>324</v>
      </c>
      <c r="F63" s="7"/>
      <c r="G63" s="7"/>
      <c r="H63" s="7"/>
      <c r="I63" s="7"/>
      <c r="J63" s="7" t="s">
        <v>325</v>
      </c>
    </row>
    <row r="64" customFormat="false" ht="15" hidden="false" customHeight="false" outlineLevel="0" collapsed="false">
      <c r="A64" s="7" t="s">
        <v>321</v>
      </c>
      <c r="B64" s="7" t="s">
        <v>336</v>
      </c>
      <c r="C64" s="7" t="s">
        <v>337</v>
      </c>
      <c r="D64" s="7" t="s">
        <v>151</v>
      </c>
      <c r="E64" s="7" t="s">
        <v>324</v>
      </c>
      <c r="F64" s="7"/>
      <c r="G64" s="7"/>
      <c r="H64" s="7"/>
      <c r="I64" s="7"/>
      <c r="J64" s="7" t="s">
        <v>325</v>
      </c>
    </row>
    <row r="65" customFormat="false" ht="15" hidden="false" customHeight="false" outlineLevel="0" collapsed="false">
      <c r="A65" s="7" t="s">
        <v>321</v>
      </c>
      <c r="B65" s="7" t="s">
        <v>338</v>
      </c>
      <c r="C65" s="7" t="s">
        <v>339</v>
      </c>
      <c r="D65" s="7" t="s">
        <v>151</v>
      </c>
      <c r="E65" s="7" t="s">
        <v>324</v>
      </c>
      <c r="F65" s="7"/>
      <c r="G65" s="7"/>
      <c r="H65" s="7"/>
      <c r="I65" s="7"/>
      <c r="J65" s="7" t="s">
        <v>325</v>
      </c>
    </row>
    <row r="66" customFormat="false" ht="15" hidden="false" customHeight="false" outlineLevel="0" collapsed="false">
      <c r="A66" s="7" t="s">
        <v>321</v>
      </c>
      <c r="B66" s="7" t="s">
        <v>340</v>
      </c>
      <c r="C66" s="7" t="s">
        <v>341</v>
      </c>
      <c r="D66" s="7" t="s">
        <v>151</v>
      </c>
      <c r="E66" s="7" t="s">
        <v>324</v>
      </c>
      <c r="F66" s="7"/>
      <c r="G66" s="7"/>
      <c r="H66" s="7"/>
      <c r="I66" s="7"/>
      <c r="J66" s="7" t="s">
        <v>325</v>
      </c>
    </row>
    <row r="67" customFormat="false" ht="15" hidden="false" customHeight="false" outlineLevel="0" collapsed="false">
      <c r="A67" s="7" t="s">
        <v>321</v>
      </c>
      <c r="B67" s="7" t="s">
        <v>342</v>
      </c>
      <c r="C67" s="7" t="s">
        <v>343</v>
      </c>
      <c r="D67" s="7" t="s">
        <v>151</v>
      </c>
      <c r="E67" s="7" t="s">
        <v>324</v>
      </c>
      <c r="F67" s="7"/>
      <c r="G67" s="7"/>
      <c r="H67" s="7"/>
      <c r="I67" s="7"/>
      <c r="J67" s="7" t="s">
        <v>325</v>
      </c>
    </row>
    <row r="68" customFormat="false" ht="15" hidden="false" customHeight="false" outlineLevel="0" collapsed="false">
      <c r="A68" s="7" t="s">
        <v>321</v>
      </c>
      <c r="B68" s="7" t="s">
        <v>344</v>
      </c>
      <c r="C68" s="7" t="s">
        <v>345</v>
      </c>
      <c r="D68" s="7" t="s">
        <v>151</v>
      </c>
      <c r="E68" s="7" t="s">
        <v>324</v>
      </c>
      <c r="F68" s="7"/>
      <c r="G68" s="7"/>
      <c r="H68" s="7"/>
      <c r="I68" s="7"/>
      <c r="J68" s="7" t="s">
        <v>325</v>
      </c>
    </row>
    <row r="69" customFormat="false" ht="15" hidden="false" customHeight="false" outlineLevel="0" collapsed="false">
      <c r="A69" s="7" t="s">
        <v>346</v>
      </c>
      <c r="B69" s="7" t="s">
        <v>347</v>
      </c>
      <c r="C69" s="7" t="s">
        <v>348</v>
      </c>
      <c r="D69" s="7" t="s">
        <v>349</v>
      </c>
      <c r="E69" s="7" t="n">
        <v>0.07</v>
      </c>
      <c r="F69" s="7"/>
      <c r="G69" s="7"/>
      <c r="H69" s="7"/>
      <c r="I69" s="7"/>
      <c r="J69" s="7" t="s">
        <v>350</v>
      </c>
    </row>
    <row r="70" customFormat="false" ht="15" hidden="false" customHeight="false" outlineLevel="0" collapsed="false">
      <c r="A70" s="7" t="s">
        <v>346</v>
      </c>
      <c r="B70" s="7" t="s">
        <v>351</v>
      </c>
      <c r="C70" s="7" t="s">
        <v>352</v>
      </c>
      <c r="D70" s="7" t="s">
        <v>353</v>
      </c>
      <c r="E70" s="7" t="n">
        <v>1.1</v>
      </c>
      <c r="F70" s="7"/>
      <c r="G70" s="7" t="s">
        <v>132</v>
      </c>
      <c r="H70" s="7"/>
      <c r="I70" s="7"/>
      <c r="J70" s="7" t="s">
        <v>350</v>
      </c>
    </row>
    <row r="71" customFormat="false" ht="35.05" hidden="false" customHeight="false" outlineLevel="0" collapsed="false">
      <c r="A71" s="7" t="s">
        <v>354</v>
      </c>
      <c r="B71" s="7" t="s">
        <v>355</v>
      </c>
      <c r="C71" s="7" t="s">
        <v>356</v>
      </c>
      <c r="D71" s="7" t="s">
        <v>357</v>
      </c>
      <c r="E71" s="7" t="n">
        <v>2540000</v>
      </c>
      <c r="F71" s="7"/>
      <c r="G71" s="7" t="s">
        <v>132</v>
      </c>
      <c r="H71" s="7"/>
      <c r="I71" s="7"/>
      <c r="J71" s="7" t="s">
        <v>358</v>
      </c>
    </row>
    <row r="72" customFormat="false" ht="35.05" hidden="false" customHeight="false" outlineLevel="0" collapsed="false">
      <c r="A72" s="7" t="s">
        <v>354</v>
      </c>
      <c r="B72" s="7" t="s">
        <v>359</v>
      </c>
      <c r="C72" s="7" t="s">
        <v>360</v>
      </c>
      <c r="D72" s="7" t="s">
        <v>357</v>
      </c>
      <c r="E72" s="7" t="n">
        <v>2540000</v>
      </c>
      <c r="F72" s="7"/>
      <c r="G72" s="7" t="s">
        <v>132</v>
      </c>
      <c r="H72" s="7"/>
      <c r="I72" s="7" t="s">
        <v>361</v>
      </c>
      <c r="J72" s="7" t="s">
        <v>358</v>
      </c>
    </row>
    <row r="73" customFormat="false" ht="35.05" hidden="false" customHeight="false" outlineLevel="0" collapsed="false">
      <c r="A73" s="7" t="s">
        <v>354</v>
      </c>
      <c r="B73" s="7" t="s">
        <v>362</v>
      </c>
      <c r="C73" s="7" t="s">
        <v>363</v>
      </c>
      <c r="D73" s="7" t="s">
        <v>364</v>
      </c>
      <c r="E73" s="7" t="n">
        <v>25</v>
      </c>
      <c r="F73" s="7"/>
      <c r="G73" s="7"/>
      <c r="H73" s="7"/>
      <c r="I73" s="7"/>
      <c r="J73" s="7" t="s">
        <v>358</v>
      </c>
    </row>
    <row r="74" customFormat="false" ht="35.05" hidden="false" customHeight="false" outlineLevel="0" collapsed="false">
      <c r="A74" s="7" t="s">
        <v>354</v>
      </c>
      <c r="B74" s="7" t="s">
        <v>365</v>
      </c>
      <c r="C74" s="7" t="s">
        <v>366</v>
      </c>
      <c r="D74" s="7" t="s">
        <v>367</v>
      </c>
      <c r="E74" s="7" t="n">
        <v>0.025</v>
      </c>
      <c r="F74" s="7"/>
      <c r="G74" s="7"/>
      <c r="H74" s="7"/>
      <c r="I74" s="7"/>
      <c r="J74" s="7" t="s">
        <v>358</v>
      </c>
    </row>
    <row r="75" customFormat="false" ht="35.05" hidden="false" customHeight="false" outlineLevel="0" collapsed="false">
      <c r="A75" s="7" t="s">
        <v>354</v>
      </c>
      <c r="B75" s="7" t="s">
        <v>368</v>
      </c>
      <c r="C75" s="7" t="s">
        <v>369</v>
      </c>
      <c r="D75" s="7" t="s">
        <v>367</v>
      </c>
      <c r="E75" s="7" t="n">
        <v>0.03</v>
      </c>
      <c r="F75" s="7"/>
      <c r="G75" s="7"/>
      <c r="H75" s="7"/>
      <c r="I75" s="7"/>
      <c r="J75" s="7" t="s">
        <v>358</v>
      </c>
    </row>
    <row r="76" customFormat="false" ht="35.05" hidden="false" customHeight="false" outlineLevel="0" collapsed="false">
      <c r="A76" s="7" t="s">
        <v>354</v>
      </c>
      <c r="B76" s="7" t="s">
        <v>370</v>
      </c>
      <c r="C76" s="7" t="s">
        <v>371</v>
      </c>
      <c r="D76" s="7" t="s">
        <v>53</v>
      </c>
      <c r="E76" s="7" t="n">
        <v>15</v>
      </c>
      <c r="F76" s="7"/>
      <c r="G76" s="7"/>
      <c r="H76" s="7" t="s">
        <v>236</v>
      </c>
      <c r="I76" s="7"/>
      <c r="J76" s="7" t="s">
        <v>358</v>
      </c>
    </row>
    <row r="77" customFormat="false" ht="15" hidden="false" customHeight="false" outlineLevel="0" collapsed="false">
      <c r="A77" s="7" t="s">
        <v>323</v>
      </c>
      <c r="B77" s="7" t="s">
        <v>372</v>
      </c>
      <c r="C77" s="7" t="s">
        <v>373</v>
      </c>
      <c r="D77" s="7" t="s">
        <v>374</v>
      </c>
      <c r="E77" s="7" t="n">
        <v>1500</v>
      </c>
      <c r="F77" s="7"/>
      <c r="G77" s="7" t="s">
        <v>132</v>
      </c>
      <c r="H77" s="7"/>
      <c r="I77" s="7"/>
      <c r="J77" s="7" t="s">
        <v>375</v>
      </c>
    </row>
    <row r="78" customFormat="false" ht="15" hidden="false" customHeight="false" outlineLevel="0" collapsed="false">
      <c r="A78" s="7" t="s">
        <v>323</v>
      </c>
      <c r="B78" s="7" t="s">
        <v>376</v>
      </c>
      <c r="C78" s="7" t="s">
        <v>363</v>
      </c>
      <c r="D78" s="7" t="s">
        <v>364</v>
      </c>
      <c r="E78" s="7" t="n">
        <v>25</v>
      </c>
      <c r="F78" s="7"/>
      <c r="G78" s="7"/>
      <c r="H78" s="7"/>
      <c r="I78" s="7"/>
      <c r="J78" s="7" t="s">
        <v>375</v>
      </c>
    </row>
    <row r="79" customFormat="false" ht="15" hidden="false" customHeight="false" outlineLevel="0" collapsed="false">
      <c r="A79" s="7" t="s">
        <v>323</v>
      </c>
      <c r="B79" s="7" t="s">
        <v>377</v>
      </c>
      <c r="C79" s="7" t="s">
        <v>378</v>
      </c>
      <c r="D79" s="7" t="s">
        <v>367</v>
      </c>
      <c r="E79" s="7" t="n">
        <v>0.02</v>
      </c>
      <c r="F79" s="7"/>
      <c r="G79" s="7"/>
      <c r="H79" s="7"/>
      <c r="I79" s="7"/>
      <c r="J79" s="7" t="s">
        <v>375</v>
      </c>
    </row>
    <row r="80" customFormat="false" ht="15" hidden="false" customHeight="false" outlineLevel="0" collapsed="false">
      <c r="A80" s="7" t="s">
        <v>379</v>
      </c>
      <c r="B80" s="7" t="s">
        <v>380</v>
      </c>
      <c r="C80" s="7" t="s">
        <v>381</v>
      </c>
      <c r="D80" s="7" t="s">
        <v>374</v>
      </c>
      <c r="E80" s="7" t="n">
        <v>2000</v>
      </c>
      <c r="F80" s="7"/>
      <c r="G80" s="7" t="s">
        <v>132</v>
      </c>
      <c r="H80" s="7"/>
      <c r="I80" s="7"/>
      <c r="J80" s="7" t="s">
        <v>382</v>
      </c>
    </row>
    <row r="81" customFormat="false" ht="15" hidden="false" customHeight="false" outlineLevel="0" collapsed="false">
      <c r="A81" s="7" t="s">
        <v>379</v>
      </c>
      <c r="B81" s="7" t="s">
        <v>383</v>
      </c>
      <c r="C81" s="7" t="s">
        <v>384</v>
      </c>
      <c r="D81" s="7" t="s">
        <v>349</v>
      </c>
      <c r="E81" s="7" t="n">
        <v>0.75</v>
      </c>
      <c r="F81" s="7"/>
      <c r="G81" s="7"/>
      <c r="H81" s="7"/>
      <c r="I81" s="7"/>
      <c r="J81" s="7" t="s">
        <v>382</v>
      </c>
    </row>
    <row r="82" customFormat="false" ht="15" hidden="false" customHeight="false" outlineLevel="0" collapsed="false">
      <c r="A82" s="7" t="s">
        <v>379</v>
      </c>
      <c r="B82" s="7" t="s">
        <v>385</v>
      </c>
      <c r="C82" s="7" t="s">
        <v>386</v>
      </c>
      <c r="D82" s="7" t="s">
        <v>364</v>
      </c>
      <c r="E82" s="7" t="n">
        <v>15</v>
      </c>
      <c r="F82" s="7"/>
      <c r="G82" s="7"/>
      <c r="H82" s="7"/>
      <c r="I82" s="7"/>
      <c r="J82" s="7" t="s">
        <v>382</v>
      </c>
    </row>
    <row r="83" customFormat="false" ht="15" hidden="false" customHeight="false" outlineLevel="0" collapsed="false">
      <c r="A83" s="7" t="s">
        <v>379</v>
      </c>
      <c r="B83" s="7" t="s">
        <v>387</v>
      </c>
      <c r="C83" s="7" t="s">
        <v>378</v>
      </c>
      <c r="D83" s="7" t="s">
        <v>367</v>
      </c>
      <c r="E83" s="7" t="n">
        <v>0.015</v>
      </c>
      <c r="F83" s="7"/>
      <c r="G83" s="7"/>
      <c r="H83" s="7"/>
      <c r="I83" s="7"/>
      <c r="J83" s="7" t="s">
        <v>382</v>
      </c>
    </row>
    <row r="84" customFormat="false" ht="15" hidden="false" customHeight="false" outlineLevel="0" collapsed="false">
      <c r="A84" s="7" t="s">
        <v>379</v>
      </c>
      <c r="B84" s="7" t="s">
        <v>388</v>
      </c>
      <c r="C84" s="7" t="s">
        <v>389</v>
      </c>
      <c r="D84" s="7" t="s">
        <v>390</v>
      </c>
      <c r="E84" s="7" t="n">
        <v>200</v>
      </c>
      <c r="F84" s="7"/>
      <c r="G84" s="7"/>
      <c r="H84" s="7" t="s">
        <v>236</v>
      </c>
      <c r="I84" s="7"/>
      <c r="J84" s="7" t="s">
        <v>382</v>
      </c>
    </row>
    <row r="85" customFormat="false" ht="15" hidden="false" customHeight="false" outlineLevel="0" collapsed="false">
      <c r="A85" s="7" t="s">
        <v>379</v>
      </c>
      <c r="B85" s="7" t="s">
        <v>391</v>
      </c>
      <c r="C85" s="7" t="s">
        <v>392</v>
      </c>
      <c r="D85" s="7" t="s">
        <v>357</v>
      </c>
      <c r="E85" s="7" t="n">
        <v>20750</v>
      </c>
      <c r="F85" s="7"/>
      <c r="G85" s="7"/>
      <c r="H85" s="7" t="s">
        <v>236</v>
      </c>
      <c r="I85" s="7"/>
      <c r="J85" s="7" t="s">
        <v>382</v>
      </c>
    </row>
    <row r="86" customFormat="false" ht="15" hidden="false" customHeight="false" outlineLevel="0" collapsed="false">
      <c r="A86" s="7" t="s">
        <v>379</v>
      </c>
      <c r="B86" s="7" t="s">
        <v>393</v>
      </c>
      <c r="C86" s="7" t="s">
        <v>394</v>
      </c>
      <c r="D86" s="7" t="s">
        <v>364</v>
      </c>
      <c r="E86" s="7" t="n">
        <v>20</v>
      </c>
      <c r="F86" s="7"/>
      <c r="G86" s="7"/>
      <c r="H86" s="7" t="s">
        <v>236</v>
      </c>
      <c r="I86" s="7"/>
      <c r="J86" s="7" t="s">
        <v>382</v>
      </c>
    </row>
    <row r="87" customFormat="false" ht="15" hidden="false" customHeight="false" outlineLevel="0" collapsed="false">
      <c r="A87" s="7" t="s">
        <v>379</v>
      </c>
      <c r="B87" s="7" t="s">
        <v>395</v>
      </c>
      <c r="C87" s="7" t="s">
        <v>396</v>
      </c>
      <c r="D87" s="7" t="s">
        <v>367</v>
      </c>
      <c r="E87" s="7" t="n">
        <v>0.1</v>
      </c>
      <c r="F87" s="7"/>
      <c r="G87" s="7"/>
      <c r="H87" s="7" t="s">
        <v>236</v>
      </c>
      <c r="I87" s="7"/>
      <c r="J87" s="7" t="s">
        <v>382</v>
      </c>
    </row>
    <row r="88" customFormat="false" ht="15" hidden="false" customHeight="false" outlineLevel="0" collapsed="false">
      <c r="A88" s="7" t="s">
        <v>397</v>
      </c>
      <c r="B88" s="7" t="s">
        <v>398</v>
      </c>
      <c r="C88" s="7" t="s">
        <v>399</v>
      </c>
      <c r="D88" s="7" t="s">
        <v>316</v>
      </c>
      <c r="E88" s="7" t="n">
        <v>30</v>
      </c>
      <c r="F88" s="7"/>
      <c r="G88" s="7"/>
      <c r="H88" s="7"/>
      <c r="I88" s="7"/>
      <c r="J88" s="7" t="s">
        <v>400</v>
      </c>
    </row>
    <row r="89" customFormat="false" ht="15" hidden="false" customHeight="false" outlineLevel="0" collapsed="false">
      <c r="A89" s="7" t="s">
        <v>397</v>
      </c>
      <c r="B89" s="7" t="s">
        <v>401</v>
      </c>
      <c r="C89" s="7" t="s">
        <v>402</v>
      </c>
      <c r="D89" s="7" t="s">
        <v>316</v>
      </c>
      <c r="E89" s="7" t="n">
        <v>70</v>
      </c>
      <c r="F89" s="7"/>
      <c r="G89" s="7"/>
      <c r="H89" s="7"/>
      <c r="I89" s="7"/>
      <c r="J89" s="7" t="s">
        <v>400</v>
      </c>
    </row>
    <row r="90" customFormat="false" ht="15" hidden="false" customHeight="false" outlineLevel="0" collapsed="false">
      <c r="A90" s="7" t="s">
        <v>397</v>
      </c>
      <c r="B90" s="7" t="s">
        <v>403</v>
      </c>
      <c r="C90" s="7" t="s">
        <v>404</v>
      </c>
      <c r="D90" s="7" t="s">
        <v>349</v>
      </c>
      <c r="E90" s="7" t="n">
        <v>0.75</v>
      </c>
      <c r="F90" s="7"/>
      <c r="G90" s="7"/>
      <c r="H90" s="7"/>
      <c r="I90" s="7"/>
      <c r="J90" s="7" t="s">
        <v>400</v>
      </c>
    </row>
    <row r="91" customFormat="false" ht="15" hidden="false" customHeight="false" outlineLevel="0" collapsed="false">
      <c r="A91" s="7" t="s">
        <v>397</v>
      </c>
      <c r="B91" s="7" t="s">
        <v>405</v>
      </c>
      <c r="C91" s="7" t="s">
        <v>406</v>
      </c>
      <c r="D91" s="7" t="s">
        <v>151</v>
      </c>
      <c r="E91" s="7" t="n">
        <v>2</v>
      </c>
      <c r="F91" s="7"/>
      <c r="G91" s="7"/>
      <c r="H91" s="7" t="s">
        <v>236</v>
      </c>
      <c r="I91" s="7"/>
      <c r="J91" s="7" t="s">
        <v>400</v>
      </c>
    </row>
    <row r="92" customFormat="false" ht="15" hidden="false" customHeight="false" outlineLevel="0" collapsed="false">
      <c r="A92" s="7" t="s">
        <v>397</v>
      </c>
      <c r="B92" s="7" t="s">
        <v>407</v>
      </c>
      <c r="C92" s="7" t="s">
        <v>408</v>
      </c>
      <c r="D92" s="7" t="s">
        <v>409</v>
      </c>
      <c r="E92" s="7" t="n">
        <v>313</v>
      </c>
      <c r="F92" s="7"/>
      <c r="G92" s="7"/>
      <c r="H92" s="7" t="s">
        <v>236</v>
      </c>
      <c r="I92" s="7"/>
      <c r="J92" s="7" t="s">
        <v>400</v>
      </c>
    </row>
    <row r="93" customFormat="false" ht="15" hidden="false" customHeight="false" outlineLevel="0" collapsed="false">
      <c r="A93" s="7" t="s">
        <v>397</v>
      </c>
      <c r="B93" s="7" t="s">
        <v>410</v>
      </c>
      <c r="C93" s="7" t="s">
        <v>411</v>
      </c>
      <c r="D93" s="7" t="s">
        <v>151</v>
      </c>
      <c r="E93" s="7" t="n">
        <v>1.05</v>
      </c>
      <c r="F93" s="7"/>
      <c r="G93" s="7"/>
      <c r="H93" s="7" t="s">
        <v>236</v>
      </c>
      <c r="I93" s="7"/>
      <c r="J93" s="7" t="s">
        <v>400</v>
      </c>
    </row>
    <row r="94" customFormat="false" ht="15" hidden="false" customHeight="false" outlineLevel="0" collapsed="false">
      <c r="A94" s="7" t="s">
        <v>397</v>
      </c>
      <c r="B94" s="7" t="s">
        <v>412</v>
      </c>
      <c r="C94" s="7" t="s">
        <v>413</v>
      </c>
      <c r="D94" s="7" t="s">
        <v>151</v>
      </c>
      <c r="E94" s="7" t="n">
        <v>1.41</v>
      </c>
      <c r="F94" s="7"/>
      <c r="G94" s="7"/>
      <c r="H94" s="7" t="s">
        <v>236</v>
      </c>
      <c r="I94" s="7"/>
      <c r="J94" s="7" t="s">
        <v>400</v>
      </c>
    </row>
    <row r="95" customFormat="false" ht="15" hidden="false" customHeight="false" outlineLevel="0" collapsed="false">
      <c r="A95" s="7" t="s">
        <v>397</v>
      </c>
      <c r="B95" s="7" t="s">
        <v>414</v>
      </c>
      <c r="C95" s="7" t="s">
        <v>373</v>
      </c>
      <c r="D95" s="7" t="s">
        <v>357</v>
      </c>
      <c r="E95" s="7" t="n">
        <v>2000000</v>
      </c>
      <c r="F95" s="7"/>
      <c r="G95" s="7" t="s">
        <v>132</v>
      </c>
      <c r="H95" s="7"/>
      <c r="I95" s="7"/>
      <c r="J95" s="7" t="s">
        <v>400</v>
      </c>
    </row>
    <row r="96" customFormat="false" ht="15" hidden="false" customHeight="false" outlineLevel="0" collapsed="false">
      <c r="A96" s="7" t="s">
        <v>397</v>
      </c>
      <c r="B96" s="7" t="s">
        <v>415</v>
      </c>
      <c r="C96" s="7" t="s">
        <v>363</v>
      </c>
      <c r="D96" s="7" t="s">
        <v>364</v>
      </c>
      <c r="E96" s="7" t="n">
        <v>20</v>
      </c>
      <c r="F96" s="7"/>
      <c r="G96" s="7"/>
      <c r="H96" s="7"/>
      <c r="I96" s="7"/>
      <c r="J96" s="7" t="s">
        <v>400</v>
      </c>
    </row>
    <row r="97" customFormat="false" ht="15" hidden="false" customHeight="false" outlineLevel="0" collapsed="false">
      <c r="A97" s="7" t="s">
        <v>397</v>
      </c>
      <c r="B97" s="7" t="s">
        <v>416</v>
      </c>
      <c r="C97" s="7" t="s">
        <v>378</v>
      </c>
      <c r="D97" s="7" t="s">
        <v>367</v>
      </c>
      <c r="E97" s="7" t="n">
        <v>0.03</v>
      </c>
      <c r="F97" s="7"/>
      <c r="G97" s="7"/>
      <c r="H97" s="7"/>
      <c r="I97" s="7"/>
      <c r="J97" s="7" t="s">
        <v>400</v>
      </c>
    </row>
    <row r="98" customFormat="false" ht="15" hidden="false" customHeight="false" outlineLevel="0" collapsed="false">
      <c r="A98" s="7" t="s">
        <v>397</v>
      </c>
      <c r="B98" s="7" t="s">
        <v>417</v>
      </c>
      <c r="C98" s="7" t="s">
        <v>389</v>
      </c>
      <c r="D98" s="7" t="s">
        <v>390</v>
      </c>
      <c r="E98" s="7" t="n">
        <v>100</v>
      </c>
      <c r="F98" s="7"/>
      <c r="G98" s="7"/>
      <c r="H98" s="7" t="s">
        <v>236</v>
      </c>
      <c r="I98" s="7"/>
      <c r="J98" s="7" t="s">
        <v>400</v>
      </c>
    </row>
    <row r="99" customFormat="false" ht="15" hidden="false" customHeight="false" outlineLevel="0" collapsed="false">
      <c r="A99" s="7" t="s">
        <v>418</v>
      </c>
      <c r="B99" s="7" t="s">
        <v>419</v>
      </c>
      <c r="C99" s="7" t="s">
        <v>384</v>
      </c>
      <c r="D99" s="7" t="s">
        <v>349</v>
      </c>
      <c r="E99" s="7" t="n">
        <v>0.5</v>
      </c>
      <c r="F99" s="7"/>
      <c r="G99" s="7"/>
      <c r="H99" s="7"/>
      <c r="I99" s="7"/>
      <c r="J99" s="7" t="s">
        <v>420</v>
      </c>
    </row>
    <row r="100" customFormat="false" ht="15" hidden="false" customHeight="false" outlineLevel="0" collapsed="false">
      <c r="A100" s="7" t="s">
        <v>418</v>
      </c>
      <c r="B100" s="7" t="s">
        <v>421</v>
      </c>
      <c r="C100" s="7" t="s">
        <v>373</v>
      </c>
      <c r="D100" s="7" t="s">
        <v>374</v>
      </c>
      <c r="E100" s="7" t="n">
        <v>1170</v>
      </c>
      <c r="F100" s="7"/>
      <c r="G100" s="7"/>
      <c r="H100" s="7"/>
      <c r="I100" s="7"/>
      <c r="J100" s="7" t="s">
        <v>420</v>
      </c>
    </row>
    <row r="101" customFormat="false" ht="15" hidden="false" customHeight="false" outlineLevel="0" collapsed="false">
      <c r="A101" s="7" t="s">
        <v>418</v>
      </c>
      <c r="B101" s="7" t="s">
        <v>422</v>
      </c>
      <c r="C101" s="7" t="s">
        <v>363</v>
      </c>
      <c r="D101" s="7" t="s">
        <v>364</v>
      </c>
      <c r="E101" s="7" t="n">
        <v>15</v>
      </c>
      <c r="F101" s="7"/>
      <c r="G101" s="7"/>
      <c r="H101" s="7"/>
      <c r="I101" s="7"/>
      <c r="J101" s="7" t="s">
        <v>420</v>
      </c>
    </row>
    <row r="102" customFormat="false" ht="15" hidden="false" customHeight="false" outlineLevel="0" collapsed="false">
      <c r="A102" s="7" t="s">
        <v>418</v>
      </c>
      <c r="B102" s="7" t="s">
        <v>423</v>
      </c>
      <c r="C102" s="7" t="s">
        <v>378</v>
      </c>
      <c r="D102" s="7" t="s">
        <v>367</v>
      </c>
      <c r="E102" s="7" t="n">
        <v>0.03</v>
      </c>
      <c r="F102" s="7"/>
      <c r="G102" s="7"/>
      <c r="H102" s="7"/>
      <c r="I102" s="7"/>
      <c r="J102" s="7" t="s">
        <v>420</v>
      </c>
    </row>
    <row r="103" customFormat="false" ht="15" hidden="false" customHeight="false" outlineLevel="0" collapsed="false">
      <c r="A103" s="7" t="s">
        <v>418</v>
      </c>
      <c r="B103" s="7" t="s">
        <v>424</v>
      </c>
      <c r="C103" s="7" t="s">
        <v>389</v>
      </c>
      <c r="D103" s="7" t="s">
        <v>390</v>
      </c>
      <c r="E103" s="7" t="n">
        <v>120</v>
      </c>
      <c r="F103" s="7"/>
      <c r="G103" s="7"/>
      <c r="H103" s="7" t="s">
        <v>236</v>
      </c>
      <c r="I103" s="7"/>
      <c r="J103" s="7" t="s">
        <v>420</v>
      </c>
    </row>
    <row r="104" customFormat="false" ht="23.85" hidden="false" customHeight="false" outlineLevel="0" collapsed="false">
      <c r="A104" s="7" t="s">
        <v>425</v>
      </c>
      <c r="B104" s="7" t="s">
        <v>426</v>
      </c>
      <c r="C104" s="7" t="s">
        <v>427</v>
      </c>
      <c r="D104" s="7" t="s">
        <v>44</v>
      </c>
      <c r="E104" s="7" t="n">
        <v>160000</v>
      </c>
      <c r="F104" s="7"/>
      <c r="G104" s="7"/>
      <c r="H104" s="7"/>
      <c r="I104" s="7"/>
      <c r="J104" s="7" t="s">
        <v>428</v>
      </c>
    </row>
    <row r="105" customFormat="false" ht="23.85" hidden="false" customHeight="false" outlineLevel="0" collapsed="false">
      <c r="A105" s="7" t="s">
        <v>425</v>
      </c>
      <c r="B105" s="7" t="s">
        <v>429</v>
      </c>
      <c r="C105" s="7" t="s">
        <v>430</v>
      </c>
      <c r="D105" s="7" t="s">
        <v>357</v>
      </c>
      <c r="E105" s="7" t="n">
        <v>5343913</v>
      </c>
      <c r="F105" s="7"/>
      <c r="G105" s="7" t="s">
        <v>132</v>
      </c>
      <c r="H105" s="7"/>
      <c r="I105" s="7"/>
      <c r="J105" s="7" t="s">
        <v>428</v>
      </c>
    </row>
    <row r="106" customFormat="false" ht="23.85" hidden="false" customHeight="false" outlineLevel="0" collapsed="false">
      <c r="A106" s="7" t="s">
        <v>425</v>
      </c>
      <c r="B106" s="7" t="s">
        <v>431</v>
      </c>
      <c r="C106" s="7" t="s">
        <v>432</v>
      </c>
      <c r="D106" s="7" t="s">
        <v>349</v>
      </c>
      <c r="E106" s="7" t="n">
        <v>0.95</v>
      </c>
      <c r="F106" s="7"/>
      <c r="G106" s="7"/>
      <c r="H106" s="7"/>
      <c r="I106" s="7"/>
      <c r="J106" s="7" t="s">
        <v>428</v>
      </c>
    </row>
    <row r="107" customFormat="false" ht="23.85" hidden="false" customHeight="false" outlineLevel="0" collapsed="false">
      <c r="A107" s="7" t="s">
        <v>425</v>
      </c>
      <c r="B107" s="7" t="s">
        <v>433</v>
      </c>
      <c r="C107" s="7" t="s">
        <v>363</v>
      </c>
      <c r="D107" s="7" t="s">
        <v>364</v>
      </c>
      <c r="E107" s="7" t="n">
        <v>15</v>
      </c>
      <c r="F107" s="7"/>
      <c r="G107" s="7"/>
      <c r="H107" s="7"/>
      <c r="I107" s="7"/>
      <c r="J107" s="7" t="s">
        <v>428</v>
      </c>
    </row>
    <row r="108" customFormat="false" ht="23.85" hidden="false" customHeight="false" outlineLevel="0" collapsed="false">
      <c r="A108" s="7" t="s">
        <v>425</v>
      </c>
      <c r="B108" s="7" t="s">
        <v>434</v>
      </c>
      <c r="C108" s="7" t="s">
        <v>378</v>
      </c>
      <c r="D108" s="7" t="s">
        <v>367</v>
      </c>
      <c r="E108" s="7" t="n">
        <v>0.02</v>
      </c>
      <c r="F108" s="7"/>
      <c r="G108" s="7"/>
      <c r="H108" s="7"/>
      <c r="I108" s="7"/>
      <c r="J108" s="7" t="s">
        <v>428</v>
      </c>
    </row>
    <row r="109" customFormat="false" ht="23.85" hidden="false" customHeight="false" outlineLevel="0" collapsed="false">
      <c r="A109" s="7" t="s">
        <v>425</v>
      </c>
      <c r="B109" s="7" t="s">
        <v>435</v>
      </c>
      <c r="C109" s="7" t="s">
        <v>436</v>
      </c>
      <c r="D109" s="7" t="s">
        <v>44</v>
      </c>
      <c r="E109" s="7" t="n">
        <v>1.19</v>
      </c>
      <c r="F109" s="7"/>
      <c r="G109" s="7"/>
      <c r="H109" s="7"/>
      <c r="I109" s="7"/>
      <c r="J109" s="7" t="s">
        <v>428</v>
      </c>
    </row>
    <row r="110" customFormat="false" ht="23.85" hidden="false" customHeight="false" outlineLevel="0" collapsed="false">
      <c r="A110" s="7" t="s">
        <v>425</v>
      </c>
      <c r="B110" s="7" t="s">
        <v>437</v>
      </c>
      <c r="C110" s="7" t="s">
        <v>389</v>
      </c>
      <c r="D110" s="7" t="s">
        <v>438</v>
      </c>
      <c r="E110" s="7" t="n">
        <v>25</v>
      </c>
      <c r="F110" s="7"/>
      <c r="G110" s="7"/>
      <c r="H110" s="7" t="s">
        <v>236</v>
      </c>
      <c r="I110" s="7"/>
      <c r="J110" s="7" t="s">
        <v>428</v>
      </c>
    </row>
    <row r="111" customFormat="false" ht="23.85" hidden="false" customHeight="false" outlineLevel="0" collapsed="false">
      <c r="A111" s="7" t="s">
        <v>425</v>
      </c>
      <c r="B111" s="7" t="s">
        <v>439</v>
      </c>
      <c r="C111" s="7" t="s">
        <v>440</v>
      </c>
      <c r="D111" s="7" t="s">
        <v>441</v>
      </c>
      <c r="E111" s="7" t="n">
        <v>100000</v>
      </c>
      <c r="F111" s="7"/>
      <c r="G111" s="7"/>
      <c r="H111" s="7" t="s">
        <v>236</v>
      </c>
      <c r="I111" s="7"/>
      <c r="J111" s="7" t="s">
        <v>428</v>
      </c>
    </row>
    <row r="112" customFormat="false" ht="23.85" hidden="false" customHeight="false" outlineLevel="0" collapsed="false">
      <c r="A112" s="7" t="s">
        <v>425</v>
      </c>
      <c r="B112" s="7" t="s">
        <v>442</v>
      </c>
      <c r="C112" s="7" t="s">
        <v>443</v>
      </c>
      <c r="D112" s="7" t="s">
        <v>53</v>
      </c>
      <c r="E112" s="7" t="n">
        <v>20000</v>
      </c>
      <c r="F112" s="7"/>
      <c r="G112" s="7"/>
      <c r="H112" s="7" t="s">
        <v>236</v>
      </c>
      <c r="I112" s="7"/>
      <c r="J112" s="7" t="s">
        <v>428</v>
      </c>
    </row>
    <row r="113" customFormat="false" ht="15" hidden="false" customHeight="false" outlineLevel="0" collapsed="false">
      <c r="A113" s="7" t="s">
        <v>444</v>
      </c>
      <c r="B113" s="7" t="s">
        <v>445</v>
      </c>
      <c r="C113" s="7" t="s">
        <v>373</v>
      </c>
      <c r="D113" s="7" t="s">
        <v>183</v>
      </c>
      <c r="E113" s="7" t="n">
        <v>650</v>
      </c>
      <c r="F113" s="7"/>
      <c r="G113" s="7"/>
      <c r="H113" s="7"/>
      <c r="I113" s="7"/>
      <c r="J113" s="7" t="s">
        <v>446</v>
      </c>
    </row>
    <row r="114" customFormat="false" ht="15" hidden="false" customHeight="false" outlineLevel="0" collapsed="false">
      <c r="A114" s="7" t="s">
        <v>444</v>
      </c>
      <c r="B114" s="7" t="s">
        <v>447</v>
      </c>
      <c r="C114" s="7" t="s">
        <v>363</v>
      </c>
      <c r="D114" s="7" t="s">
        <v>364</v>
      </c>
      <c r="E114" s="7" t="n">
        <v>20</v>
      </c>
      <c r="F114" s="7"/>
      <c r="G114" s="7"/>
      <c r="H114" s="7"/>
      <c r="I114" s="7"/>
      <c r="J114" s="7" t="s">
        <v>446</v>
      </c>
    </row>
    <row r="115" customFormat="false" ht="15" hidden="false" customHeight="false" outlineLevel="0" collapsed="false">
      <c r="A115" s="7" t="s">
        <v>444</v>
      </c>
      <c r="B115" s="7" t="s">
        <v>448</v>
      </c>
      <c r="C115" s="7" t="s">
        <v>378</v>
      </c>
      <c r="D115" s="7" t="s">
        <v>367</v>
      </c>
      <c r="E115" s="7" t="n">
        <v>0.02</v>
      </c>
      <c r="F115" s="7"/>
      <c r="G115" s="7"/>
      <c r="H115" s="7"/>
      <c r="I115" s="7"/>
      <c r="J115" s="7" t="s">
        <v>446</v>
      </c>
    </row>
    <row r="116" customFormat="false" ht="15" hidden="false" customHeight="false" outlineLevel="0" collapsed="false">
      <c r="A116" s="7" t="s">
        <v>444</v>
      </c>
      <c r="B116" s="7" t="s">
        <v>449</v>
      </c>
      <c r="C116" s="7" t="s">
        <v>436</v>
      </c>
      <c r="D116" s="7" t="s">
        <v>183</v>
      </c>
      <c r="E116" s="7" t="n">
        <v>0.01</v>
      </c>
      <c r="F116" s="7"/>
      <c r="G116" s="7"/>
      <c r="H116" s="7"/>
      <c r="I116" s="7"/>
      <c r="J116" s="7" t="s">
        <v>446</v>
      </c>
    </row>
    <row r="117" customFormat="false" ht="15" hidden="false" customHeight="false" outlineLevel="0" collapsed="false">
      <c r="A117" s="7" t="s">
        <v>444</v>
      </c>
      <c r="B117" s="7" t="s">
        <v>450</v>
      </c>
      <c r="C117" s="7" t="s">
        <v>389</v>
      </c>
      <c r="D117" s="7" t="s">
        <v>451</v>
      </c>
      <c r="E117" s="7" t="n">
        <v>1.5</v>
      </c>
      <c r="F117" s="7"/>
      <c r="G117" s="7"/>
      <c r="H117" s="7" t="s">
        <v>236</v>
      </c>
      <c r="I117" s="7"/>
      <c r="J117" s="7" t="s">
        <v>446</v>
      </c>
    </row>
    <row r="118" customFormat="false" ht="15" hidden="false" customHeight="false" outlineLevel="0" collapsed="false">
      <c r="A118" s="7" t="s">
        <v>444</v>
      </c>
      <c r="B118" s="7" t="s">
        <v>452</v>
      </c>
      <c r="C118" s="7" t="s">
        <v>453</v>
      </c>
      <c r="D118" s="7" t="s">
        <v>454</v>
      </c>
      <c r="E118" s="7" t="n">
        <v>5000000</v>
      </c>
      <c r="F118" s="7"/>
      <c r="G118" s="7"/>
      <c r="H118" s="7" t="s">
        <v>236</v>
      </c>
      <c r="I118" s="7"/>
      <c r="J118" s="7" t="s">
        <v>446</v>
      </c>
    </row>
    <row r="119" customFormat="false" ht="23.85" hidden="false" customHeight="false" outlineLevel="0" collapsed="false">
      <c r="A119" s="7" t="s">
        <v>455</v>
      </c>
      <c r="B119" s="7" t="s">
        <v>456</v>
      </c>
      <c r="C119" s="7" t="s">
        <v>457</v>
      </c>
      <c r="D119" s="7" t="s">
        <v>225</v>
      </c>
      <c r="E119" s="7" t="n">
        <v>60</v>
      </c>
      <c r="F119" s="7"/>
      <c r="G119" s="7"/>
      <c r="H119" s="7"/>
      <c r="I119" s="7"/>
      <c r="J119" s="7" t="s">
        <v>458</v>
      </c>
    </row>
    <row r="120" customFormat="false" ht="23.85" hidden="false" customHeight="false" outlineLevel="0" collapsed="false">
      <c r="A120" s="7" t="s">
        <v>455</v>
      </c>
      <c r="B120" s="7" t="s">
        <v>459</v>
      </c>
      <c r="C120" s="7" t="s">
        <v>460</v>
      </c>
      <c r="D120" s="7" t="s">
        <v>461</v>
      </c>
      <c r="E120" s="7" t="n">
        <v>1360</v>
      </c>
      <c r="F120" s="7"/>
      <c r="G120" s="7" t="s">
        <v>132</v>
      </c>
      <c r="H120" s="7"/>
      <c r="I120" s="7"/>
      <c r="J120" s="7" t="s">
        <v>458</v>
      </c>
    </row>
    <row r="121" customFormat="false" ht="23.85" hidden="false" customHeight="false" outlineLevel="0" collapsed="false">
      <c r="A121" s="7" t="s">
        <v>455</v>
      </c>
      <c r="B121" s="7" t="s">
        <v>462</v>
      </c>
      <c r="C121" s="7" t="s">
        <v>463</v>
      </c>
      <c r="D121" s="7" t="s">
        <v>464</v>
      </c>
      <c r="E121" s="7" t="n">
        <v>206130</v>
      </c>
      <c r="F121" s="7"/>
      <c r="G121" s="7" t="s">
        <v>132</v>
      </c>
      <c r="H121" s="7"/>
      <c r="I121" s="7"/>
      <c r="J121" s="7" t="s">
        <v>458</v>
      </c>
    </row>
    <row r="122" customFormat="false" ht="23.85" hidden="false" customHeight="false" outlineLevel="0" collapsed="false">
      <c r="A122" s="7" t="s">
        <v>455</v>
      </c>
      <c r="B122" s="7" t="s">
        <v>465</v>
      </c>
      <c r="C122" s="7" t="s">
        <v>466</v>
      </c>
      <c r="D122" s="7" t="s">
        <v>467</v>
      </c>
      <c r="E122" s="7" t="n">
        <v>6.7E-005</v>
      </c>
      <c r="F122" s="7"/>
      <c r="G122" s="7"/>
      <c r="H122" s="7"/>
      <c r="I122" s="7"/>
      <c r="J122" s="7" t="s">
        <v>458</v>
      </c>
    </row>
    <row r="123" customFormat="false" ht="23.85" hidden="false" customHeight="false" outlineLevel="0" collapsed="false">
      <c r="A123" s="7" t="s">
        <v>455</v>
      </c>
      <c r="B123" s="7" t="s">
        <v>468</v>
      </c>
      <c r="C123" s="7" t="s">
        <v>469</v>
      </c>
      <c r="D123" s="7" t="s">
        <v>357</v>
      </c>
      <c r="E123" s="7" t="n">
        <v>300000</v>
      </c>
      <c r="F123" s="7"/>
      <c r="G123" s="7" t="s">
        <v>132</v>
      </c>
      <c r="H123" s="7"/>
      <c r="I123" s="7" t="s">
        <v>470</v>
      </c>
      <c r="J123" s="7" t="s">
        <v>458</v>
      </c>
    </row>
    <row r="124" customFormat="false" ht="23.85" hidden="false" customHeight="false" outlineLevel="0" collapsed="false">
      <c r="A124" s="7" t="s">
        <v>455</v>
      </c>
      <c r="B124" s="7" t="s">
        <v>471</v>
      </c>
      <c r="C124" s="7" t="s">
        <v>472</v>
      </c>
      <c r="D124" s="7" t="s">
        <v>461</v>
      </c>
      <c r="E124" s="7" t="n">
        <v>1000</v>
      </c>
      <c r="F124" s="7"/>
      <c r="G124" s="7" t="s">
        <v>132</v>
      </c>
      <c r="H124" s="7"/>
      <c r="I124" s="7"/>
      <c r="J124" s="7" t="s">
        <v>458</v>
      </c>
    </row>
    <row r="125" customFormat="false" ht="23.85" hidden="false" customHeight="false" outlineLevel="0" collapsed="false">
      <c r="A125" s="7" t="s">
        <v>455</v>
      </c>
      <c r="B125" s="7" t="s">
        <v>473</v>
      </c>
      <c r="C125" s="7" t="s">
        <v>474</v>
      </c>
      <c r="D125" s="7" t="s">
        <v>349</v>
      </c>
      <c r="E125" s="7" t="n">
        <v>0.02</v>
      </c>
      <c r="F125" s="7"/>
      <c r="G125" s="7"/>
      <c r="H125" s="7"/>
      <c r="I125" s="7"/>
      <c r="J125" s="7" t="s">
        <v>458</v>
      </c>
    </row>
    <row r="126" customFormat="false" ht="23.85" hidden="false" customHeight="false" outlineLevel="0" collapsed="false">
      <c r="A126" s="7" t="s">
        <v>455</v>
      </c>
      <c r="B126" s="7" t="s">
        <v>475</v>
      </c>
      <c r="C126" s="7" t="s">
        <v>476</v>
      </c>
      <c r="D126" s="7" t="s">
        <v>467</v>
      </c>
      <c r="E126" s="7" t="n">
        <v>3.5E-005</v>
      </c>
      <c r="F126" s="7"/>
      <c r="G126" s="7"/>
      <c r="H126" s="7"/>
      <c r="I126" s="7"/>
      <c r="J126" s="7" t="s">
        <v>458</v>
      </c>
    </row>
    <row r="127" customFormat="false" ht="57.45" hidden="false" customHeight="false" outlineLevel="0" collapsed="false">
      <c r="A127" s="7" t="s">
        <v>455</v>
      </c>
      <c r="B127" s="7" t="s">
        <v>477</v>
      </c>
      <c r="C127" s="7" t="s">
        <v>478</v>
      </c>
      <c r="D127" s="7" t="s">
        <v>281</v>
      </c>
      <c r="E127" s="7" t="n">
        <v>42000</v>
      </c>
      <c r="F127" s="7"/>
      <c r="G127" s="7"/>
      <c r="H127" s="7"/>
      <c r="I127" s="7" t="s">
        <v>479</v>
      </c>
      <c r="J127" s="7" t="s">
        <v>458</v>
      </c>
    </row>
    <row r="128" customFormat="false" ht="23.85" hidden="false" customHeight="false" outlineLevel="0" collapsed="false">
      <c r="A128" s="7" t="s">
        <v>455</v>
      </c>
      <c r="B128" s="7" t="s">
        <v>480</v>
      </c>
      <c r="C128" s="7" t="s">
        <v>481</v>
      </c>
      <c r="D128" s="7" t="s">
        <v>281</v>
      </c>
      <c r="E128" s="7" t="n">
        <v>0</v>
      </c>
      <c r="F128" s="7"/>
      <c r="G128" s="7"/>
      <c r="H128" s="7"/>
      <c r="I128" s="7" t="s">
        <v>482</v>
      </c>
      <c r="J128" s="7" t="s">
        <v>458</v>
      </c>
    </row>
    <row r="129" customFormat="false" ht="23.85" hidden="false" customHeight="false" outlineLevel="0" collapsed="false">
      <c r="A129" s="7" t="s">
        <v>455</v>
      </c>
      <c r="B129" s="7" t="s">
        <v>483</v>
      </c>
      <c r="C129" s="7" t="s">
        <v>484</v>
      </c>
      <c r="D129" s="7" t="s">
        <v>367</v>
      </c>
      <c r="E129" s="7" t="n">
        <v>0.005</v>
      </c>
      <c r="F129" s="7"/>
      <c r="G129" s="7"/>
      <c r="H129" s="7"/>
      <c r="I129" s="7"/>
      <c r="J129" s="7" t="s">
        <v>458</v>
      </c>
    </row>
    <row r="130" customFormat="false" ht="23.85" hidden="false" customHeight="false" outlineLevel="0" collapsed="false">
      <c r="A130" s="7" t="s">
        <v>455</v>
      </c>
      <c r="B130" s="7" t="s">
        <v>485</v>
      </c>
      <c r="C130" s="7" t="s">
        <v>486</v>
      </c>
      <c r="D130" s="7" t="s">
        <v>367</v>
      </c>
      <c r="E130" s="7" t="n">
        <v>0.01</v>
      </c>
      <c r="F130" s="7"/>
      <c r="G130" s="7"/>
      <c r="H130" s="7"/>
      <c r="I130" s="7"/>
      <c r="J130" s="7" t="s">
        <v>458</v>
      </c>
    </row>
    <row r="131" customFormat="false" ht="23.85" hidden="false" customHeight="false" outlineLevel="0" collapsed="false">
      <c r="A131" s="7" t="s">
        <v>455</v>
      </c>
      <c r="B131" s="7" t="s">
        <v>487</v>
      </c>
      <c r="C131" s="7" t="s">
        <v>488</v>
      </c>
      <c r="D131" s="7" t="s">
        <v>353</v>
      </c>
      <c r="E131" s="7" t="n">
        <v>1.5</v>
      </c>
      <c r="F131" s="7"/>
      <c r="G131" s="7"/>
      <c r="H131" s="7"/>
      <c r="I131" s="7" t="s">
        <v>489</v>
      </c>
      <c r="J131" s="7" t="s">
        <v>458</v>
      </c>
    </row>
    <row r="132" customFormat="false" ht="23.85" hidden="false" customHeight="false" outlineLevel="0" collapsed="false">
      <c r="A132" s="7" t="s">
        <v>455</v>
      </c>
      <c r="B132" s="7" t="s">
        <v>490</v>
      </c>
      <c r="C132" s="7" t="s">
        <v>363</v>
      </c>
      <c r="D132" s="7" t="s">
        <v>364</v>
      </c>
      <c r="E132" s="7" t="n">
        <v>30</v>
      </c>
      <c r="F132" s="7"/>
      <c r="G132" s="7"/>
      <c r="H132" s="7"/>
      <c r="I132" s="7"/>
      <c r="J132" s="7" t="s">
        <v>458</v>
      </c>
    </row>
    <row r="133" customFormat="false" ht="15" hidden="false" customHeight="false" outlineLevel="0" collapsed="false">
      <c r="A133" s="7" t="s">
        <v>491</v>
      </c>
      <c r="B133" s="7" t="s">
        <v>492</v>
      </c>
      <c r="C133" s="7" t="s">
        <v>493</v>
      </c>
      <c r="D133" s="7" t="s">
        <v>464</v>
      </c>
      <c r="E133" s="7" t="n">
        <v>1000000</v>
      </c>
      <c r="F133" s="7"/>
      <c r="G133" s="7" t="s">
        <v>132</v>
      </c>
      <c r="H133" s="7"/>
      <c r="I133" s="7"/>
      <c r="J133" s="7" t="s">
        <v>494</v>
      </c>
    </row>
    <row r="134" customFormat="false" ht="15" hidden="false" customHeight="false" outlineLevel="0" collapsed="false">
      <c r="A134" s="7" t="s">
        <v>491</v>
      </c>
      <c r="B134" s="7" t="s">
        <v>495</v>
      </c>
      <c r="C134" s="7" t="s">
        <v>496</v>
      </c>
      <c r="D134" s="7" t="s">
        <v>61</v>
      </c>
      <c r="E134" s="7" t="n">
        <v>33264</v>
      </c>
      <c r="F134" s="7"/>
      <c r="G134" s="7"/>
      <c r="H134" s="7"/>
      <c r="I134" s="7"/>
      <c r="J134" s="7" t="s">
        <v>494</v>
      </c>
    </row>
    <row r="135" customFormat="false" ht="15" hidden="false" customHeight="false" outlineLevel="0" collapsed="false">
      <c r="A135" s="7" t="s">
        <v>491</v>
      </c>
      <c r="B135" s="7" t="s">
        <v>497</v>
      </c>
      <c r="C135" s="7" t="s">
        <v>498</v>
      </c>
      <c r="D135" s="7" t="s">
        <v>464</v>
      </c>
      <c r="E135" s="7" t="n">
        <v>3700000</v>
      </c>
      <c r="F135" s="7"/>
      <c r="G135" s="7"/>
      <c r="H135" s="7"/>
      <c r="I135" s="7"/>
      <c r="J135" s="7" t="s">
        <v>494</v>
      </c>
    </row>
    <row r="136" customFormat="false" ht="15" hidden="false" customHeight="false" outlineLevel="0" collapsed="false">
      <c r="A136" s="7" t="s">
        <v>491</v>
      </c>
      <c r="B136" s="7" t="s">
        <v>499</v>
      </c>
      <c r="C136" s="7" t="s">
        <v>500</v>
      </c>
      <c r="D136" s="7" t="s">
        <v>61</v>
      </c>
      <c r="E136" s="7" t="n">
        <v>141000</v>
      </c>
      <c r="F136" s="7"/>
      <c r="G136" s="7"/>
      <c r="H136" s="7"/>
      <c r="I136" s="7"/>
      <c r="J136" s="7" t="s">
        <v>494</v>
      </c>
    </row>
    <row r="137" customFormat="false" ht="15" hidden="false" customHeight="false" outlineLevel="0" collapsed="false">
      <c r="A137" s="7" t="s">
        <v>491</v>
      </c>
      <c r="B137" s="7" t="s">
        <v>501</v>
      </c>
      <c r="C137" s="7" t="s">
        <v>502</v>
      </c>
      <c r="D137" s="7" t="s">
        <v>464</v>
      </c>
      <c r="E137" s="7" t="n">
        <v>400000</v>
      </c>
      <c r="F137" s="7"/>
      <c r="G137" s="7"/>
      <c r="H137" s="7"/>
      <c r="I137" s="7"/>
      <c r="J137" s="7" t="s">
        <v>494</v>
      </c>
    </row>
    <row r="138" customFormat="false" ht="15" hidden="false" customHeight="false" outlineLevel="0" collapsed="false">
      <c r="A138" s="7" t="s">
        <v>491</v>
      </c>
      <c r="B138" s="7" t="s">
        <v>503</v>
      </c>
      <c r="C138" s="7" t="s">
        <v>504</v>
      </c>
      <c r="D138" s="7" t="s">
        <v>61</v>
      </c>
      <c r="E138" s="7" t="n">
        <v>108000</v>
      </c>
      <c r="F138" s="7"/>
      <c r="G138" s="7"/>
      <c r="H138" s="7"/>
      <c r="I138" s="7"/>
      <c r="J138" s="7" t="s">
        <v>494</v>
      </c>
    </row>
    <row r="139" customFormat="false" ht="15" hidden="false" customHeight="false" outlineLevel="0" collapsed="false">
      <c r="A139" s="7" t="s">
        <v>491</v>
      </c>
      <c r="B139" s="7" t="s">
        <v>505</v>
      </c>
      <c r="C139" s="7" t="s">
        <v>506</v>
      </c>
      <c r="D139" s="7" t="s">
        <v>349</v>
      </c>
      <c r="E139" s="7" t="n">
        <v>0.99</v>
      </c>
      <c r="F139" s="7"/>
      <c r="G139" s="7"/>
      <c r="H139" s="7"/>
      <c r="I139" s="7"/>
      <c r="J139" s="7" t="s">
        <v>494</v>
      </c>
    </row>
    <row r="140" customFormat="false" ht="15" hidden="false" customHeight="false" outlineLevel="0" collapsed="false">
      <c r="A140" s="7" t="s">
        <v>491</v>
      </c>
      <c r="B140" s="7" t="s">
        <v>507</v>
      </c>
      <c r="C140" s="7" t="s">
        <v>363</v>
      </c>
      <c r="D140" s="7" t="s">
        <v>364</v>
      </c>
      <c r="E140" s="7" t="n">
        <v>40</v>
      </c>
      <c r="F140" s="7"/>
      <c r="G140" s="7"/>
      <c r="H140" s="7"/>
      <c r="I140" s="7"/>
      <c r="J140" s="7" t="s">
        <v>494</v>
      </c>
    </row>
    <row r="141" customFormat="false" ht="15" hidden="false" customHeight="false" outlineLevel="0" collapsed="false">
      <c r="A141" s="7" t="s">
        <v>491</v>
      </c>
      <c r="B141" s="7" t="s">
        <v>508</v>
      </c>
      <c r="C141" s="7" t="s">
        <v>378</v>
      </c>
      <c r="D141" s="7" t="s">
        <v>367</v>
      </c>
      <c r="E141" s="7" t="n">
        <v>0.009</v>
      </c>
      <c r="F141" s="7"/>
      <c r="G141" s="7"/>
      <c r="H141" s="7"/>
      <c r="I141" s="7"/>
      <c r="J141" s="7" t="s">
        <v>494</v>
      </c>
    </row>
    <row r="142" customFormat="false" ht="15" hidden="false" customHeight="false" outlineLevel="0" collapsed="false">
      <c r="A142" s="7" t="s">
        <v>509</v>
      </c>
      <c r="B142" s="7" t="s">
        <v>510</v>
      </c>
      <c r="C142" s="7" t="s">
        <v>511</v>
      </c>
      <c r="D142" s="7" t="s">
        <v>512</v>
      </c>
      <c r="E142" s="7" t="n">
        <v>84.651</v>
      </c>
      <c r="F142" s="7"/>
      <c r="G142" s="7" t="s">
        <v>132</v>
      </c>
      <c r="H142" s="7"/>
      <c r="I142" s="7"/>
      <c r="J142" s="7" t="s">
        <v>513</v>
      </c>
    </row>
    <row r="143" customFormat="false" ht="15" hidden="false" customHeight="false" outlineLevel="0" collapsed="false">
      <c r="A143" s="7" t="s">
        <v>509</v>
      </c>
      <c r="B143" s="7" t="s">
        <v>514</v>
      </c>
      <c r="C143" s="7" t="s">
        <v>515</v>
      </c>
      <c r="D143" s="7" t="s">
        <v>512</v>
      </c>
      <c r="E143" s="7" t="n">
        <v>139.281</v>
      </c>
      <c r="F143" s="7"/>
      <c r="G143" s="7" t="s">
        <v>132</v>
      </c>
      <c r="H143" s="7"/>
      <c r="I143" s="7"/>
      <c r="J143" s="7" t="s">
        <v>513</v>
      </c>
    </row>
    <row r="144" customFormat="false" ht="15" hidden="false" customHeight="false" outlineLevel="0" collapsed="false">
      <c r="A144" s="7" t="s">
        <v>509</v>
      </c>
      <c r="B144" s="7" t="s">
        <v>516</v>
      </c>
      <c r="C144" s="7" t="s">
        <v>517</v>
      </c>
      <c r="D144" s="7" t="s">
        <v>353</v>
      </c>
      <c r="E144" s="7" t="n">
        <v>1.5</v>
      </c>
      <c r="F144" s="7"/>
      <c r="G144" s="7"/>
      <c r="H144" s="7"/>
      <c r="I144" s="7"/>
      <c r="J144" s="7" t="s">
        <v>513</v>
      </c>
    </row>
    <row r="145" customFormat="false" ht="23.85" hidden="false" customHeight="false" outlineLevel="0" collapsed="false">
      <c r="A145" s="7" t="s">
        <v>509</v>
      </c>
      <c r="B145" s="7" t="s">
        <v>518</v>
      </c>
      <c r="C145" s="7" t="s">
        <v>519</v>
      </c>
      <c r="D145" s="7" t="s">
        <v>353</v>
      </c>
      <c r="E145" s="7" t="n">
        <v>2</v>
      </c>
      <c r="F145" s="7"/>
      <c r="G145" s="7"/>
      <c r="H145" s="7"/>
      <c r="I145" s="7" t="s">
        <v>520</v>
      </c>
      <c r="J145" s="7" t="s">
        <v>513</v>
      </c>
    </row>
    <row r="146" customFormat="false" ht="15" hidden="false" customHeight="false" outlineLevel="0" collapsed="false">
      <c r="A146" s="7" t="s">
        <v>509</v>
      </c>
      <c r="B146" s="7" t="s">
        <v>521</v>
      </c>
      <c r="C146" s="7" t="s">
        <v>363</v>
      </c>
      <c r="D146" s="7" t="s">
        <v>364</v>
      </c>
      <c r="E146" s="7" t="n">
        <v>25</v>
      </c>
      <c r="F146" s="7"/>
      <c r="G146" s="7"/>
      <c r="H146" s="7"/>
      <c r="I146" s="7"/>
      <c r="J146" s="7" t="s">
        <v>513</v>
      </c>
    </row>
    <row r="147" customFormat="false" ht="15" hidden="false" customHeight="false" outlineLevel="0" collapsed="false">
      <c r="A147" s="7" t="s">
        <v>509</v>
      </c>
      <c r="B147" s="7" t="s">
        <v>522</v>
      </c>
      <c r="C147" s="7" t="s">
        <v>378</v>
      </c>
      <c r="D147" s="7" t="s">
        <v>367</v>
      </c>
      <c r="E147" s="7" t="n">
        <v>0.02</v>
      </c>
      <c r="F147" s="7"/>
      <c r="G147" s="7"/>
      <c r="H147" s="7"/>
      <c r="I147" s="7"/>
      <c r="J147" s="7" t="s">
        <v>513</v>
      </c>
    </row>
    <row r="148" customFormat="false" ht="15" hidden="false" customHeight="false" outlineLevel="0" collapsed="false">
      <c r="A148" s="7" t="s">
        <v>523</v>
      </c>
      <c r="B148" s="7" t="s">
        <v>524</v>
      </c>
      <c r="C148" s="7" t="s">
        <v>525</v>
      </c>
      <c r="D148" s="7" t="s">
        <v>44</v>
      </c>
      <c r="E148" s="7" t="n">
        <v>3000</v>
      </c>
      <c r="F148" s="7"/>
      <c r="G148" s="7"/>
      <c r="H148" s="7" t="s">
        <v>236</v>
      </c>
      <c r="I148" s="7"/>
      <c r="J148" s="7" t="s">
        <v>526</v>
      </c>
    </row>
    <row r="149" customFormat="false" ht="15" hidden="false" customHeight="false" outlineLevel="0" collapsed="false">
      <c r="A149" s="7" t="s">
        <v>523</v>
      </c>
      <c r="B149" s="7" t="s">
        <v>527</v>
      </c>
      <c r="C149" s="7" t="s">
        <v>528</v>
      </c>
      <c r="D149" s="7" t="s">
        <v>183</v>
      </c>
      <c r="E149" s="7" t="n">
        <v>100</v>
      </c>
      <c r="F149" s="7"/>
      <c r="G149" s="7"/>
      <c r="H149" s="7" t="s">
        <v>236</v>
      </c>
      <c r="I149" s="7"/>
      <c r="J149" s="7" t="s">
        <v>526</v>
      </c>
    </row>
    <row r="150" customFormat="false" ht="15" hidden="false" customHeight="false" outlineLevel="0" collapsed="false">
      <c r="A150" s="7" t="s">
        <v>523</v>
      </c>
      <c r="B150" s="7" t="s">
        <v>529</v>
      </c>
      <c r="C150" s="7" t="s">
        <v>530</v>
      </c>
      <c r="D150" s="7" t="s">
        <v>531</v>
      </c>
      <c r="E150" s="7" t="n">
        <v>33.3</v>
      </c>
      <c r="F150" s="7"/>
      <c r="G150" s="7"/>
      <c r="H150" s="7" t="s">
        <v>236</v>
      </c>
      <c r="I150" s="7"/>
      <c r="J150" s="7" t="s">
        <v>526</v>
      </c>
    </row>
    <row r="151" customFormat="false" ht="15" hidden="false" customHeight="false" outlineLevel="0" collapsed="false">
      <c r="A151" s="7" t="s">
        <v>523</v>
      </c>
      <c r="B151" s="7" t="s">
        <v>532</v>
      </c>
      <c r="C151" s="7" t="s">
        <v>533</v>
      </c>
      <c r="D151" s="7" t="s">
        <v>53</v>
      </c>
      <c r="E151" s="7" t="n">
        <v>5000</v>
      </c>
      <c r="F151" s="7"/>
      <c r="G151" s="7"/>
      <c r="H151" s="7" t="s">
        <v>236</v>
      </c>
      <c r="I151" s="7"/>
      <c r="J151" s="7" t="s">
        <v>526</v>
      </c>
    </row>
    <row r="152" customFormat="false" ht="23.85" hidden="false" customHeight="false" outlineLevel="0" collapsed="false">
      <c r="A152" s="7" t="s">
        <v>523</v>
      </c>
      <c r="B152" s="7" t="s">
        <v>534</v>
      </c>
      <c r="C152" s="7" t="s">
        <v>535</v>
      </c>
      <c r="D152" s="7" t="s">
        <v>53</v>
      </c>
      <c r="E152" s="7" t="n">
        <v>10000</v>
      </c>
      <c r="F152" s="7"/>
      <c r="G152" s="7"/>
      <c r="H152" s="7" t="s">
        <v>236</v>
      </c>
      <c r="I152" s="7" t="s">
        <v>536</v>
      </c>
      <c r="J152" s="7" t="s">
        <v>526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70"/>
    <col collapsed="false" customWidth="true" hidden="false" outlineLevel="0" max="6" min="5" style="0" width="44"/>
  </cols>
  <sheetData>
    <row r="1" customFormat="false" ht="15" hidden="false" customHeight="false" outlineLevel="0" collapsed="false">
      <c r="A1" s="6" t="s">
        <v>537</v>
      </c>
      <c r="B1" s="6" t="s">
        <v>19</v>
      </c>
      <c r="C1" s="6" t="s">
        <v>538</v>
      </c>
      <c r="D1" s="6" t="s">
        <v>22</v>
      </c>
      <c r="E1" s="6" t="s">
        <v>539</v>
      </c>
      <c r="F1" s="6" t="s">
        <v>25</v>
      </c>
    </row>
    <row r="2" customFormat="false" ht="23.85" hidden="false" customHeight="false" outlineLevel="0" collapsed="false">
      <c r="A2" s="7" t="s">
        <v>231</v>
      </c>
      <c r="B2" s="7" t="s">
        <v>232</v>
      </c>
      <c r="C2" s="7" t="s">
        <v>540</v>
      </c>
      <c r="D2" s="7" t="s">
        <v>541</v>
      </c>
      <c r="E2" s="8" t="s">
        <v>542</v>
      </c>
      <c r="F2" s="8" t="s">
        <v>543</v>
      </c>
    </row>
    <row r="3" customFormat="false" ht="23.85" hidden="false" customHeight="false" outlineLevel="0" collapsed="false">
      <c r="A3" s="7" t="s">
        <v>243</v>
      </c>
      <c r="B3" s="7" t="s">
        <v>544</v>
      </c>
      <c r="C3" s="7" t="s">
        <v>545</v>
      </c>
      <c r="D3" s="7" t="s">
        <v>546</v>
      </c>
      <c r="E3" s="8" t="s">
        <v>547</v>
      </c>
      <c r="F3" s="8" t="s">
        <v>548</v>
      </c>
    </row>
    <row r="4" customFormat="false" ht="23.85" hidden="false" customHeight="false" outlineLevel="0" collapsed="false">
      <c r="A4" s="7" t="s">
        <v>202</v>
      </c>
      <c r="B4" s="7" t="s">
        <v>549</v>
      </c>
      <c r="C4" s="7" t="s">
        <v>550</v>
      </c>
      <c r="D4" s="7" t="s">
        <v>551</v>
      </c>
      <c r="E4" s="8" t="s">
        <v>552</v>
      </c>
      <c r="F4" s="8" t="s">
        <v>553</v>
      </c>
    </row>
    <row r="5" customFormat="false" ht="35.05" hidden="false" customHeight="false" outlineLevel="0" collapsed="false">
      <c r="A5" s="7" t="s">
        <v>554</v>
      </c>
      <c r="B5" s="7" t="s">
        <v>225</v>
      </c>
      <c r="C5" s="7" t="s">
        <v>555</v>
      </c>
      <c r="D5" s="7" t="s">
        <v>556</v>
      </c>
      <c r="E5" s="7"/>
      <c r="F5" s="7"/>
    </row>
    <row r="6" customFormat="false" ht="23.85" hidden="false" customHeight="false" outlineLevel="0" collapsed="false">
      <c r="A6" s="7" t="s">
        <v>557</v>
      </c>
      <c r="B6" s="7" t="s">
        <v>549</v>
      </c>
      <c r="C6" s="7" t="s">
        <v>558</v>
      </c>
      <c r="D6" s="7" t="s">
        <v>559</v>
      </c>
      <c r="E6" s="8" t="s">
        <v>560</v>
      </c>
      <c r="F6" s="8" t="s">
        <v>561</v>
      </c>
    </row>
    <row r="7" customFormat="false" ht="46.25" hidden="false" customHeight="false" outlineLevel="0" collapsed="false">
      <c r="A7" s="7" t="s">
        <v>562</v>
      </c>
      <c r="B7" s="7" t="s">
        <v>563</v>
      </c>
      <c r="C7" s="7" t="s">
        <v>564</v>
      </c>
      <c r="D7" s="7" t="s">
        <v>565</v>
      </c>
      <c r="E7" s="8" t="s">
        <v>547</v>
      </c>
      <c r="F7" s="8" t="s">
        <v>553</v>
      </c>
    </row>
    <row r="8" customFormat="false" ht="35.05" hidden="false" customHeight="false" outlineLevel="0" collapsed="false">
      <c r="A8" s="7" t="s">
        <v>566</v>
      </c>
      <c r="B8" s="7" t="s">
        <v>567</v>
      </c>
      <c r="C8" s="7" t="s">
        <v>568</v>
      </c>
      <c r="D8" s="7" t="s">
        <v>569</v>
      </c>
      <c r="E8" s="8" t="s">
        <v>561</v>
      </c>
      <c r="F8" s="8" t="s">
        <v>547</v>
      </c>
    </row>
    <row r="9" customFormat="false" ht="23.85" hidden="false" customHeight="false" outlineLevel="0" collapsed="false">
      <c r="A9" s="7" t="s">
        <v>570</v>
      </c>
      <c r="B9" s="7" t="s">
        <v>571</v>
      </c>
      <c r="C9" s="7" t="s">
        <v>572</v>
      </c>
      <c r="D9" s="7" t="s">
        <v>573</v>
      </c>
      <c r="E9" s="8" t="s">
        <v>561</v>
      </c>
      <c r="F9" s="7"/>
    </row>
    <row r="10" customFormat="false" ht="15" hidden="false" customHeight="false" outlineLevel="0" collapsed="false">
      <c r="A10" s="7" t="s">
        <v>574</v>
      </c>
      <c r="B10" s="7" t="s">
        <v>575</v>
      </c>
      <c r="C10" s="7" t="s">
        <v>576</v>
      </c>
      <c r="D10" s="7" t="s">
        <v>577</v>
      </c>
      <c r="E10" s="8" t="s">
        <v>578</v>
      </c>
      <c r="F10" s="7"/>
    </row>
    <row r="11" customFormat="false" ht="15" hidden="false" customHeight="false" outlineLevel="0" collapsed="false">
      <c r="A11" s="7" t="s">
        <v>579</v>
      </c>
      <c r="B11" s="7" t="s">
        <v>575</v>
      </c>
      <c r="C11" s="7" t="s">
        <v>580</v>
      </c>
      <c r="D11" s="7" t="s">
        <v>581</v>
      </c>
      <c r="E11" s="8" t="s">
        <v>547</v>
      </c>
      <c r="F11" s="7"/>
    </row>
  </sheetData>
  <hyperlinks>
    <hyperlink ref="E2" r:id="rId1" display="https://emodnet.ec.europa.eu/geoviewer/"/>
    <hyperlink ref="F2" r:id="rId2" display="https://download.gebco.net"/>
    <hyperlink ref="E3" r:id="rId3" display="https://emodnet.ec.europa.eu/en/human-activities"/>
    <hyperlink ref="F3" r:id="rId4" display="https://maritime-spatial-planning.ec.europa.eu"/>
    <hyperlink ref="E4" r:id="rId5" display="https://openinframap.org"/>
    <hyperlink ref="F4" r:id="rId6" display="https://www.entsoe.eu/data/map/"/>
    <hyperlink ref="E6" r:id="rId7" display="https://ehb.eu/page/european-hydrogen-backbone-maps"/>
    <hyperlink ref="F6" r:id="rId8" display="https://www.entsog.eu/tyndp"/>
    <hyperlink ref="E7" r:id="rId9" display="https://emodnet.ec.europa.eu/en/human-activities"/>
    <hyperlink ref="F7" r:id="rId10" display="https://www.entsoe.eu/data/map/"/>
    <hyperlink ref="E8" r:id="rId11" display="https://www.entsog.eu/tyndp"/>
    <hyperlink ref="F8" r:id="rId12" display="https://emodnet.ec.europa.eu/en/human-activities"/>
    <hyperlink ref="E9" r:id="rId13" display="https://www.entsog.eu/tyndp"/>
    <hyperlink ref="E10" r:id="rId14" display="https://natura2000.eea.europa.eu"/>
    <hyperlink ref="E11" r:id="rId15" display="https://emodnet.ec.europa.eu/en/human-activit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7" min="6" style="0" width="40"/>
    <col collapsed="false" customWidth="true" hidden="false" outlineLevel="0" max="8" min="8" style="0" width="20"/>
    <col collapsed="false" customWidth="true" hidden="false" outlineLevel="0" max="9" min="9" style="0" width="52"/>
    <col collapsed="false" customWidth="true" hidden="false" outlineLevel="0" max="10" min="10" style="0" width="14"/>
  </cols>
  <sheetData>
    <row r="1" customFormat="false" ht="42" hidden="false" customHeight="true" outlineLevel="0" collapsed="false">
      <c r="A1" s="5" t="s">
        <v>582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23.85" hidden="false" customHeight="false" outlineLevel="0" collapsed="false">
      <c r="A3" s="6" t="s">
        <v>583</v>
      </c>
      <c r="B3" s="6" t="s">
        <v>584</v>
      </c>
      <c r="C3" s="6" t="s">
        <v>126</v>
      </c>
      <c r="D3" s="6" t="s">
        <v>585</v>
      </c>
      <c r="E3" s="6" t="s">
        <v>586</v>
      </c>
      <c r="F3" s="6" t="s">
        <v>587</v>
      </c>
      <c r="G3" s="6" t="s">
        <v>588</v>
      </c>
      <c r="H3" s="6" t="s">
        <v>589</v>
      </c>
      <c r="I3" s="6" t="s">
        <v>539</v>
      </c>
      <c r="J3" s="6" t="s">
        <v>590</v>
      </c>
    </row>
    <row r="4" customFormat="false" ht="23.85" hidden="false" customHeight="false" outlineLevel="0" collapsed="false">
      <c r="A4" s="7" t="s">
        <v>591</v>
      </c>
      <c r="B4" s="7" t="s">
        <v>592</v>
      </c>
      <c r="C4" s="7" t="s">
        <v>593</v>
      </c>
      <c r="D4" s="7" t="s">
        <v>594</v>
      </c>
      <c r="E4" s="7" t="s">
        <v>595</v>
      </c>
      <c r="F4" s="7" t="s">
        <v>596</v>
      </c>
      <c r="G4" s="7" t="s">
        <v>597</v>
      </c>
      <c r="H4" s="7" t="s">
        <v>598</v>
      </c>
      <c r="I4" s="8" t="s">
        <v>33</v>
      </c>
      <c r="J4" s="7" t="s">
        <v>599</v>
      </c>
    </row>
    <row r="5" customFormat="false" ht="23.85" hidden="false" customHeight="false" outlineLevel="0" collapsed="false">
      <c r="A5" s="7" t="s">
        <v>600</v>
      </c>
      <c r="B5" s="7" t="s">
        <v>601</v>
      </c>
      <c r="C5" s="7" t="s">
        <v>593</v>
      </c>
      <c r="D5" s="7" t="s">
        <v>602</v>
      </c>
      <c r="E5" s="7" t="s">
        <v>603</v>
      </c>
      <c r="F5" s="7" t="s">
        <v>604</v>
      </c>
      <c r="G5" s="7" t="s">
        <v>605</v>
      </c>
      <c r="H5" s="7" t="s">
        <v>606</v>
      </c>
      <c r="I5" s="8" t="s">
        <v>607</v>
      </c>
      <c r="J5" s="7" t="s">
        <v>599</v>
      </c>
    </row>
    <row r="6" customFormat="false" ht="23.85" hidden="false" customHeight="false" outlineLevel="0" collapsed="false">
      <c r="A6" s="7" t="s">
        <v>608</v>
      </c>
      <c r="B6" s="7" t="s">
        <v>609</v>
      </c>
      <c r="C6" s="7" t="s">
        <v>593</v>
      </c>
      <c r="D6" s="7" t="s">
        <v>610</v>
      </c>
      <c r="E6" s="7" t="s">
        <v>611</v>
      </c>
      <c r="F6" s="7" t="s">
        <v>612</v>
      </c>
      <c r="G6" s="7" t="s">
        <v>613</v>
      </c>
      <c r="H6" s="7" t="s">
        <v>614</v>
      </c>
      <c r="I6" s="8" t="s">
        <v>34</v>
      </c>
      <c r="J6" s="7" t="s">
        <v>599</v>
      </c>
    </row>
    <row r="7" customFormat="false" ht="23.85" hidden="false" customHeight="false" outlineLevel="0" collapsed="false">
      <c r="A7" s="7" t="s">
        <v>615</v>
      </c>
      <c r="B7" s="7" t="s">
        <v>616</v>
      </c>
      <c r="C7" s="7" t="s">
        <v>593</v>
      </c>
      <c r="D7" s="7" t="s">
        <v>617</v>
      </c>
      <c r="E7" s="7" t="s">
        <v>618</v>
      </c>
      <c r="F7" s="7" t="s">
        <v>619</v>
      </c>
      <c r="G7" s="7" t="s">
        <v>620</v>
      </c>
      <c r="H7" s="7" t="s">
        <v>614</v>
      </c>
      <c r="I7" s="8" t="s">
        <v>41</v>
      </c>
      <c r="J7" s="7" t="s">
        <v>621</v>
      </c>
    </row>
    <row r="8" customFormat="false" ht="15" hidden="false" customHeight="false" outlineLevel="0" collapsed="false">
      <c r="A8" s="7" t="s">
        <v>622</v>
      </c>
      <c r="B8" s="7" t="s">
        <v>623</v>
      </c>
      <c r="C8" s="7" t="s">
        <v>133</v>
      </c>
      <c r="D8" s="7" t="s">
        <v>624</v>
      </c>
      <c r="E8" s="7" t="s">
        <v>625</v>
      </c>
      <c r="F8" s="7" t="s">
        <v>626</v>
      </c>
      <c r="G8" s="7" t="s">
        <v>627</v>
      </c>
      <c r="H8" s="7" t="s">
        <v>628</v>
      </c>
      <c r="I8" s="8" t="s">
        <v>629</v>
      </c>
      <c r="J8" s="7" t="s">
        <v>621</v>
      </c>
    </row>
    <row r="9" customFormat="false" ht="23.85" hidden="false" customHeight="false" outlineLevel="0" collapsed="false">
      <c r="A9" s="7" t="s">
        <v>630</v>
      </c>
      <c r="B9" s="7" t="s">
        <v>631</v>
      </c>
      <c r="C9" s="7" t="s">
        <v>632</v>
      </c>
      <c r="D9" s="7" t="s">
        <v>633</v>
      </c>
      <c r="E9" s="7" t="s">
        <v>634</v>
      </c>
      <c r="F9" s="7" t="s">
        <v>626</v>
      </c>
      <c r="G9" s="7" t="s">
        <v>597</v>
      </c>
      <c r="H9" s="7" t="s">
        <v>635</v>
      </c>
      <c r="I9" s="8" t="s">
        <v>636</v>
      </c>
      <c r="J9" s="7" t="s">
        <v>599</v>
      </c>
    </row>
    <row r="10" customFormat="false" ht="35.05" hidden="false" customHeight="false" outlineLevel="0" collapsed="false">
      <c r="A10" s="7" t="s">
        <v>637</v>
      </c>
      <c r="B10" s="7" t="s">
        <v>638</v>
      </c>
      <c r="C10" s="7" t="s">
        <v>639</v>
      </c>
      <c r="D10" s="7" t="s">
        <v>640</v>
      </c>
      <c r="E10" s="7" t="s">
        <v>641</v>
      </c>
      <c r="F10" s="7" t="s">
        <v>642</v>
      </c>
      <c r="G10" s="7" t="s">
        <v>643</v>
      </c>
      <c r="H10" s="7" t="s">
        <v>644</v>
      </c>
      <c r="I10" s="8" t="s">
        <v>49</v>
      </c>
      <c r="J10" s="7" t="s">
        <v>599</v>
      </c>
    </row>
    <row r="11" customFormat="false" ht="23.85" hidden="false" customHeight="false" outlineLevel="0" collapsed="false">
      <c r="A11" s="7" t="s">
        <v>645</v>
      </c>
      <c r="B11" s="7" t="s">
        <v>646</v>
      </c>
      <c r="C11" s="7" t="s">
        <v>647</v>
      </c>
      <c r="D11" s="7" t="s">
        <v>648</v>
      </c>
      <c r="E11" s="7" t="s">
        <v>649</v>
      </c>
      <c r="F11" s="7" t="s">
        <v>650</v>
      </c>
      <c r="G11" s="7" t="s">
        <v>627</v>
      </c>
      <c r="H11" s="7" t="s">
        <v>651</v>
      </c>
      <c r="I11" s="8" t="s">
        <v>50</v>
      </c>
      <c r="J11" s="7" t="s">
        <v>621</v>
      </c>
    </row>
    <row r="12" customFormat="false" ht="35.05" hidden="false" customHeight="false" outlineLevel="0" collapsed="false">
      <c r="A12" s="7" t="s">
        <v>652</v>
      </c>
      <c r="B12" s="7" t="s">
        <v>653</v>
      </c>
      <c r="C12" s="7" t="s">
        <v>654</v>
      </c>
      <c r="D12" s="7" t="s">
        <v>640</v>
      </c>
      <c r="E12" s="7" t="s">
        <v>655</v>
      </c>
      <c r="F12" s="7" t="s">
        <v>619</v>
      </c>
      <c r="G12" s="7" t="s">
        <v>597</v>
      </c>
      <c r="H12" s="7" t="s">
        <v>656</v>
      </c>
      <c r="I12" s="8" t="s">
        <v>657</v>
      </c>
      <c r="J12" s="7" t="s">
        <v>599</v>
      </c>
    </row>
    <row r="13" customFormat="false" ht="23.85" hidden="false" customHeight="false" outlineLevel="0" collapsed="false">
      <c r="A13" s="7" t="s">
        <v>658</v>
      </c>
      <c r="B13" s="7" t="s">
        <v>659</v>
      </c>
      <c r="C13" s="7" t="s">
        <v>660</v>
      </c>
      <c r="D13" s="7" t="s">
        <v>661</v>
      </c>
      <c r="E13" s="7" t="s">
        <v>662</v>
      </c>
      <c r="F13" s="7" t="s">
        <v>626</v>
      </c>
      <c r="G13" s="7" t="s">
        <v>663</v>
      </c>
      <c r="H13" s="7" t="s">
        <v>664</v>
      </c>
      <c r="I13" s="8" t="s">
        <v>58</v>
      </c>
      <c r="J13" s="7" t="s">
        <v>621</v>
      </c>
    </row>
    <row r="14" customFormat="false" ht="23.85" hidden="false" customHeight="false" outlineLevel="0" collapsed="false">
      <c r="A14" s="7" t="s">
        <v>665</v>
      </c>
      <c r="B14" s="7" t="s">
        <v>666</v>
      </c>
      <c r="C14" s="7" t="s">
        <v>667</v>
      </c>
      <c r="D14" s="7" t="s">
        <v>668</v>
      </c>
      <c r="E14" s="7" t="s">
        <v>669</v>
      </c>
      <c r="F14" s="7" t="s">
        <v>626</v>
      </c>
      <c r="G14" s="7" t="s">
        <v>670</v>
      </c>
      <c r="H14" s="7" t="s">
        <v>671</v>
      </c>
      <c r="I14" s="8" t="s">
        <v>672</v>
      </c>
      <c r="J14" s="7" t="s">
        <v>599</v>
      </c>
    </row>
    <row r="15" customFormat="false" ht="23.85" hidden="false" customHeight="false" outlineLevel="0" collapsed="false">
      <c r="A15" s="7" t="s">
        <v>673</v>
      </c>
      <c r="B15" s="7" t="s">
        <v>674</v>
      </c>
      <c r="C15" s="7" t="s">
        <v>675</v>
      </c>
      <c r="D15" s="7" t="s">
        <v>676</v>
      </c>
      <c r="E15" s="7" t="s">
        <v>677</v>
      </c>
      <c r="F15" s="7" t="s">
        <v>626</v>
      </c>
      <c r="G15" s="7" t="s">
        <v>678</v>
      </c>
      <c r="H15" s="7" t="s">
        <v>679</v>
      </c>
      <c r="I15" s="8" t="s">
        <v>542</v>
      </c>
      <c r="J15" s="7" t="s">
        <v>599</v>
      </c>
    </row>
    <row r="16" customFormat="false" ht="23.85" hidden="false" customHeight="false" outlineLevel="0" collapsed="false">
      <c r="A16" s="7" t="s">
        <v>680</v>
      </c>
      <c r="B16" s="7" t="s">
        <v>681</v>
      </c>
      <c r="C16" s="7" t="s">
        <v>675</v>
      </c>
      <c r="D16" s="7" t="s">
        <v>682</v>
      </c>
      <c r="E16" s="7" t="s">
        <v>683</v>
      </c>
      <c r="F16" s="7" t="s">
        <v>626</v>
      </c>
      <c r="G16" s="7" t="s">
        <v>684</v>
      </c>
      <c r="H16" s="7" t="s">
        <v>685</v>
      </c>
      <c r="I16" s="8" t="s">
        <v>543</v>
      </c>
      <c r="J16" s="7" t="s">
        <v>599</v>
      </c>
    </row>
    <row r="17" customFormat="false" ht="23.85" hidden="false" customHeight="false" outlineLevel="0" collapsed="false">
      <c r="A17" s="7" t="s">
        <v>686</v>
      </c>
      <c r="B17" s="7" t="s">
        <v>687</v>
      </c>
      <c r="C17" s="7" t="s">
        <v>688</v>
      </c>
      <c r="D17" s="7" t="s">
        <v>689</v>
      </c>
      <c r="E17" s="7" t="s">
        <v>690</v>
      </c>
      <c r="F17" s="7" t="s">
        <v>626</v>
      </c>
      <c r="G17" s="7" t="s">
        <v>691</v>
      </c>
      <c r="H17" s="7" t="s">
        <v>692</v>
      </c>
      <c r="I17" s="8" t="s">
        <v>547</v>
      </c>
      <c r="J17" s="7" t="s">
        <v>599</v>
      </c>
    </row>
    <row r="18" customFormat="false" ht="23.85" hidden="false" customHeight="false" outlineLevel="0" collapsed="false">
      <c r="A18" s="7" t="s">
        <v>693</v>
      </c>
      <c r="B18" s="7" t="s">
        <v>694</v>
      </c>
      <c r="C18" s="7" t="s">
        <v>675</v>
      </c>
      <c r="D18" s="7" t="s">
        <v>695</v>
      </c>
      <c r="E18" s="7" t="s">
        <v>696</v>
      </c>
      <c r="F18" s="7" t="s">
        <v>626</v>
      </c>
      <c r="G18" s="7" t="s">
        <v>597</v>
      </c>
      <c r="H18" s="7" t="s">
        <v>697</v>
      </c>
      <c r="I18" s="8" t="s">
        <v>578</v>
      </c>
      <c r="J18" s="7" t="s">
        <v>599</v>
      </c>
    </row>
    <row r="19" customFormat="false" ht="23.85" hidden="false" customHeight="false" outlineLevel="0" collapsed="false">
      <c r="A19" s="7" t="s">
        <v>698</v>
      </c>
      <c r="B19" s="7" t="s">
        <v>699</v>
      </c>
      <c r="C19" s="7" t="s">
        <v>675</v>
      </c>
      <c r="D19" s="7" t="s">
        <v>700</v>
      </c>
      <c r="E19" s="7" t="s">
        <v>701</v>
      </c>
      <c r="F19" s="7" t="s">
        <v>702</v>
      </c>
      <c r="G19" s="7" t="s">
        <v>703</v>
      </c>
      <c r="H19" s="7" t="s">
        <v>704</v>
      </c>
      <c r="I19" s="8" t="s">
        <v>560</v>
      </c>
      <c r="J19" s="7" t="s">
        <v>599</v>
      </c>
    </row>
    <row r="20" customFormat="false" ht="23.85" hidden="false" customHeight="false" outlineLevel="0" collapsed="false">
      <c r="A20" s="7" t="s">
        <v>705</v>
      </c>
      <c r="B20" s="7" t="s">
        <v>706</v>
      </c>
      <c r="C20" s="7" t="s">
        <v>675</v>
      </c>
      <c r="D20" s="7" t="s">
        <v>707</v>
      </c>
      <c r="E20" s="7" t="s">
        <v>708</v>
      </c>
      <c r="F20" s="7" t="s">
        <v>626</v>
      </c>
      <c r="G20" s="7" t="s">
        <v>691</v>
      </c>
      <c r="H20" s="7" t="s">
        <v>709</v>
      </c>
      <c r="I20" s="8" t="s">
        <v>561</v>
      </c>
      <c r="J20" s="7" t="s">
        <v>599</v>
      </c>
    </row>
    <row r="21" customFormat="false" ht="23.85" hidden="false" customHeight="false" outlineLevel="0" collapsed="false">
      <c r="A21" s="7" t="s">
        <v>710</v>
      </c>
      <c r="B21" s="7" t="s">
        <v>711</v>
      </c>
      <c r="C21" s="7" t="s">
        <v>675</v>
      </c>
      <c r="D21" s="7" t="s">
        <v>712</v>
      </c>
      <c r="E21" s="7" t="s">
        <v>683</v>
      </c>
      <c r="F21" s="7" t="s">
        <v>626</v>
      </c>
      <c r="G21" s="7" t="s">
        <v>713</v>
      </c>
      <c r="H21" s="7" t="s">
        <v>714</v>
      </c>
      <c r="I21" s="8" t="s">
        <v>552</v>
      </c>
      <c r="J21" s="7" t="s">
        <v>599</v>
      </c>
    </row>
    <row r="22" customFormat="false" ht="23.85" hidden="false" customHeight="false" outlineLevel="0" collapsed="false">
      <c r="A22" s="7" t="s">
        <v>715</v>
      </c>
      <c r="B22" s="7" t="s">
        <v>716</v>
      </c>
      <c r="C22" s="7" t="s">
        <v>675</v>
      </c>
      <c r="D22" s="7" t="s">
        <v>717</v>
      </c>
      <c r="E22" s="7" t="s">
        <v>718</v>
      </c>
      <c r="F22" s="7" t="s">
        <v>626</v>
      </c>
      <c r="G22" s="7" t="s">
        <v>691</v>
      </c>
      <c r="H22" s="7" t="s">
        <v>719</v>
      </c>
      <c r="I22" s="8" t="s">
        <v>720</v>
      </c>
      <c r="J22" s="7" t="s">
        <v>599</v>
      </c>
    </row>
    <row r="23" customFormat="false" ht="23.85" hidden="false" customHeight="false" outlineLevel="0" collapsed="false">
      <c r="A23" s="7" t="s">
        <v>721</v>
      </c>
      <c r="B23" s="7" t="s">
        <v>722</v>
      </c>
      <c r="C23" s="7" t="s">
        <v>675</v>
      </c>
      <c r="D23" s="7" t="s">
        <v>717</v>
      </c>
      <c r="E23" s="7" t="s">
        <v>723</v>
      </c>
      <c r="F23" s="7" t="s">
        <v>626</v>
      </c>
      <c r="G23" s="7" t="s">
        <v>724</v>
      </c>
      <c r="H23" s="7" t="s">
        <v>725</v>
      </c>
      <c r="I23" s="8" t="s">
        <v>726</v>
      </c>
      <c r="J23" s="7" t="s">
        <v>599</v>
      </c>
    </row>
    <row r="24" customFormat="false" ht="23.85" hidden="false" customHeight="false" outlineLevel="0" collapsed="false">
      <c r="A24" s="7" t="s">
        <v>727</v>
      </c>
      <c r="B24" s="7" t="s">
        <v>728</v>
      </c>
      <c r="C24" s="7" t="s">
        <v>675</v>
      </c>
      <c r="D24" s="7" t="s">
        <v>729</v>
      </c>
      <c r="E24" s="7" t="s">
        <v>730</v>
      </c>
      <c r="F24" s="7" t="s">
        <v>626</v>
      </c>
      <c r="G24" s="7" t="s">
        <v>691</v>
      </c>
      <c r="H24" s="7" t="s">
        <v>731</v>
      </c>
      <c r="I24" s="8" t="s">
        <v>732</v>
      </c>
      <c r="J24" s="7" t="s">
        <v>621</v>
      </c>
    </row>
    <row r="25" customFormat="false" ht="15" hidden="false" customHeight="false" outlineLevel="0" collapsed="false">
      <c r="A25" s="7" t="s">
        <v>733</v>
      </c>
      <c r="B25" s="7" t="s">
        <v>734</v>
      </c>
      <c r="C25" s="7" t="s">
        <v>675</v>
      </c>
      <c r="D25" s="7" t="s">
        <v>675</v>
      </c>
      <c r="E25" s="7" t="s">
        <v>675</v>
      </c>
      <c r="F25" s="7" t="s">
        <v>626</v>
      </c>
      <c r="G25" s="7" t="s">
        <v>735</v>
      </c>
      <c r="H25" s="7" t="s">
        <v>736</v>
      </c>
      <c r="I25" s="8" t="s">
        <v>737</v>
      </c>
      <c r="J25" s="7" t="s">
        <v>599</v>
      </c>
    </row>
  </sheetData>
  <mergeCells count="1">
    <mergeCell ref="A1:J1"/>
  </mergeCells>
  <hyperlinks>
    <hyperlink ref="I4" r:id="rId1" display="https://open-meteo.com/en/docs/historical-weather-api"/>
    <hyperlink ref="I5" r:id="rId2" display="https://cds.climate.copernicus.eu/datasets/reanalysis-era5-single-levels"/>
    <hyperlink ref="I6" r:id="rId3" display="https://www.renewables.ninja"/>
    <hyperlink ref="I7" r:id="rId4" display="https://re.jrc.ec.europa.eu/pvg_tools/en/"/>
    <hyperlink ref="I8" r:id="rId5" display="https://map.neweuropeanwindatlas.eu"/>
    <hyperlink ref="I9" r:id="rId6" display="https://globalwindatlas.info"/>
    <hyperlink ref="I10" r:id="rId7" display="https://api.energy-charts.info"/>
    <hyperlink ref="I11" r:id="rId8" display="https://transparency.entsoe.eu"/>
    <hyperlink ref="I12" r:id="rId9" display="https://www.energidataservice.dk/tso-electricity/DayAheadPrices"/>
    <hyperlink ref="I13" r:id="rId10" display="https://odre.opendatasoft.com"/>
    <hyperlink ref="I14" r:id="rId11" display="https://data.open-power-system-data.org/time_series/"/>
    <hyperlink ref="I15" r:id="rId12" display="https://emodnet.ec.europa.eu/geoviewer/"/>
    <hyperlink ref="I16" r:id="rId13" display="https://download.gebco.net"/>
    <hyperlink ref="I17" r:id="rId14" display="https://emodnet.ec.europa.eu/en/human-activities"/>
    <hyperlink ref="I18" r:id="rId15" display="https://natura2000.eea.europa.eu"/>
    <hyperlink ref="I19" r:id="rId16" display="https://ehb.eu/page/european-hydrogen-backbone-maps"/>
    <hyperlink ref="I20" r:id="rId17" display="https://www.entsog.eu/tyndp"/>
    <hyperlink ref="I21" r:id="rId18" display="https://openinframap.org"/>
    <hyperlink ref="I22" r:id="rId19" display="https://ens.dk/en/analyses-and-statistics/technology-data-generation-electricity-and-district-heating"/>
    <hyperlink ref="I23" r:id="rId20" display="https://atb.nlr.gov/electricity/2025/data"/>
    <hyperlink ref="I24" r:id="rId21" display="https://www.acer.europa.eu"/>
    <hyperlink ref="I25" r:id="rId22" display="https://github.com/IEAWindTask37/IEA-15-240-RW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52"/>
  </cols>
  <sheetData>
    <row r="1" customFormat="false" ht="42" hidden="false" customHeight="true" outlineLevel="0" collapsed="false">
      <c r="A1" s="5" t="s">
        <v>738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17</v>
      </c>
      <c r="B3" s="6" t="s">
        <v>739</v>
      </c>
      <c r="C3" s="6" t="s">
        <v>740</v>
      </c>
      <c r="D3" s="6" t="s">
        <v>741</v>
      </c>
      <c r="E3" s="6" t="s">
        <v>742</v>
      </c>
      <c r="F3" s="6" t="s">
        <v>743</v>
      </c>
    </row>
    <row r="4" customFormat="false" ht="23.85" hidden="false" customHeight="false" outlineLevel="0" collapsed="false">
      <c r="A4" s="7" t="s">
        <v>26</v>
      </c>
      <c r="B4" s="7" t="s">
        <v>744</v>
      </c>
      <c r="C4" s="7" t="s">
        <v>745</v>
      </c>
      <c r="D4" s="7" t="s">
        <v>746</v>
      </c>
      <c r="E4" s="7" t="s">
        <v>747</v>
      </c>
      <c r="F4" s="7" t="s">
        <v>748</v>
      </c>
    </row>
    <row r="5" customFormat="false" ht="23.85" hidden="false" customHeight="false" outlineLevel="0" collapsed="false">
      <c r="A5" s="7" t="s">
        <v>749</v>
      </c>
      <c r="B5" s="7" t="s">
        <v>750</v>
      </c>
      <c r="C5" s="7" t="s">
        <v>751</v>
      </c>
      <c r="D5" s="7" t="s">
        <v>752</v>
      </c>
      <c r="E5" s="7" t="s">
        <v>747</v>
      </c>
      <c r="F5" s="7" t="s">
        <v>753</v>
      </c>
    </row>
    <row r="6" customFormat="false" ht="35.05" hidden="false" customHeight="false" outlineLevel="0" collapsed="false">
      <c r="A6" s="7" t="s">
        <v>754</v>
      </c>
      <c r="B6" s="7" t="s">
        <v>755</v>
      </c>
      <c r="C6" s="7" t="s">
        <v>756</v>
      </c>
      <c r="D6" s="7" t="s">
        <v>757</v>
      </c>
      <c r="E6" s="7" t="s">
        <v>593</v>
      </c>
      <c r="F6" s="7" t="s">
        <v>758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2026-10-08T21:05:01Z</dcterms:created>
  <dc:creator>openpyxl</dc:creator>
  <dc:description/>
  <dc:language>en-US</dc:language>
  <cp:lastModifiedBy/>
  <dcterms:modified xsi:type="dcterms:W3CDTF">2026-10-08T21:05:01Z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